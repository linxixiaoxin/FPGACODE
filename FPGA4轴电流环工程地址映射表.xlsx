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2D0AC4DD-94A3-4576-AD97-4DD5CCD46A9C}" xr6:coauthVersionLast="47" xr6:coauthVersionMax="47" xr10:uidLastSave="{00000000-0000-0000-0000-000000000000}"/>
  <bookViews>
    <workbookView xWindow="-120" yWindow="-120" windowWidth="38640" windowHeight="21120" tabRatio="888" activeTab="2" xr2:uid="{00000000-000D-0000-FFFF-FFFF00000000}"/>
  </bookViews>
  <sheets>
    <sheet name="地址空间总体划分" sheetId="2" r:id="rId1"/>
    <sheet name="电流采样模块" sheetId="5" r:id="rId2"/>
    <sheet name="位置传感器模块" sheetId="6" r:id="rId3"/>
    <sheet name="电流环运算模块" sheetId="8" r:id="rId4"/>
    <sheet name="载波模块" sheetId="10" r:id="rId5"/>
    <sheet name="非相关信号采集" sheetId="11" r:id="rId6"/>
    <sheet name="安全监控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</calcChain>
</file>

<file path=xl/sharedStrings.xml><?xml version="1.0" encoding="utf-8"?>
<sst xmlns="http://schemas.openxmlformats.org/spreadsheetml/2006/main" count="459" uniqueCount="273">
  <si>
    <t>START ADDR</t>
    <phoneticPr fontId="1" type="noConversion"/>
  </si>
  <si>
    <t>END ADDR</t>
    <phoneticPr fontId="1" type="noConversion"/>
  </si>
  <si>
    <t>调试预留空间</t>
    <phoneticPr fontId="1" type="noConversion"/>
  </si>
  <si>
    <t>地址空间</t>
    <phoneticPr fontId="1" type="noConversion"/>
  </si>
  <si>
    <t>空间大小(WORD/2BYTES)</t>
    <phoneticPr fontId="1" type="noConversion"/>
  </si>
  <si>
    <t>电流采样模块寄存器空间</t>
    <phoneticPr fontId="1" type="noConversion"/>
  </si>
  <si>
    <t>载波模块寄存器空间</t>
    <phoneticPr fontId="1" type="noConversion"/>
  </si>
  <si>
    <t>Ro</t>
    <phoneticPr fontId="1" type="noConversion"/>
  </si>
  <si>
    <t>Ro</t>
    <phoneticPr fontId="1" type="noConversion"/>
  </si>
  <si>
    <t>0x000</t>
    <phoneticPr fontId="1" type="noConversion"/>
  </si>
  <si>
    <t>0x001</t>
    <phoneticPr fontId="1" type="noConversion"/>
  </si>
  <si>
    <t>0x002</t>
    <phoneticPr fontId="1" type="noConversion"/>
  </si>
  <si>
    <t>R/W</t>
    <phoneticPr fontId="1" type="noConversion"/>
  </si>
  <si>
    <t>16bit, signed, Q0</t>
    <phoneticPr fontId="1" type="noConversion"/>
  </si>
  <si>
    <t>OFFSET</t>
    <phoneticPr fontId="1" type="noConversion"/>
  </si>
  <si>
    <t>Access</t>
    <phoneticPr fontId="1" type="noConversion"/>
  </si>
  <si>
    <t>Reg Function</t>
    <phoneticPr fontId="1" type="noConversion"/>
  </si>
  <si>
    <t>0x003</t>
    <phoneticPr fontId="1" type="noConversion"/>
  </si>
  <si>
    <t>0x004</t>
    <phoneticPr fontId="1" type="noConversion"/>
  </si>
  <si>
    <t>0x005</t>
    <phoneticPr fontId="1" type="noConversion"/>
  </si>
  <si>
    <t>0x006</t>
    <phoneticPr fontId="1" type="noConversion"/>
  </si>
  <si>
    <t>0x00E</t>
    <phoneticPr fontId="1" type="noConversion"/>
  </si>
  <si>
    <t>H16(32bit, signed, Q15)</t>
    <phoneticPr fontId="1" type="noConversion"/>
  </si>
  <si>
    <t>L16(32bit, signed, Q15)</t>
    <phoneticPr fontId="1" type="noConversion"/>
  </si>
  <si>
    <t>0x007</t>
    <phoneticPr fontId="1" type="noConversion"/>
  </si>
  <si>
    <t>0x008</t>
    <phoneticPr fontId="1" type="noConversion"/>
  </si>
  <si>
    <t>0x009</t>
    <phoneticPr fontId="1" type="noConversion"/>
  </si>
  <si>
    <t>0x00A-0x00C</t>
    <phoneticPr fontId="1" type="noConversion"/>
  </si>
  <si>
    <t>0x00D</t>
    <phoneticPr fontId="1" type="noConversion"/>
  </si>
  <si>
    <t>0x00F</t>
    <phoneticPr fontId="1" type="noConversion"/>
  </si>
  <si>
    <t>R/W</t>
    <phoneticPr fontId="1" type="noConversion"/>
  </si>
  <si>
    <t>16bit, signed, Q15, pu</t>
    <phoneticPr fontId="1" type="noConversion"/>
  </si>
  <si>
    <t>电流采样模块寄存器</t>
    <phoneticPr fontId="1" type="noConversion"/>
  </si>
  <si>
    <t>START ADDR</t>
    <phoneticPr fontId="1" type="noConversion"/>
  </si>
  <si>
    <t>END ADDR</t>
    <phoneticPr fontId="1" type="noConversion"/>
  </si>
  <si>
    <t>位置传感器模块寄存器空间</t>
    <phoneticPr fontId="1" type="noConversion"/>
  </si>
  <si>
    <t>H16(32bit, unsigned, Q0)</t>
    <phoneticPr fontId="1" type="noConversion"/>
  </si>
  <si>
    <t>L16(32bit, unsigned, Q0)</t>
    <phoneticPr fontId="1" type="noConversion"/>
  </si>
  <si>
    <t>Ro</t>
    <phoneticPr fontId="1" type="noConversion"/>
  </si>
  <si>
    <t>16bit, unsigned, Q0</t>
    <phoneticPr fontId="1" type="noConversion"/>
  </si>
  <si>
    <t>remarks</t>
    <phoneticPr fontId="1" type="noConversion"/>
  </si>
  <si>
    <r>
      <rPr>
        <b/>
        <sz val="11"/>
        <color theme="1"/>
        <rFont val="宋体"/>
        <family val="3"/>
        <charset val="134"/>
      </rPr>
      <t>位置传感器模块寄存器</t>
    </r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</si>
  <si>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位置传感器原始数据</t>
    </r>
    <r>
      <rPr>
        <sz val="11"/>
        <color theme="1"/>
        <rFont val="Times New Roman"/>
        <family val="1"/>
      </rPr>
      <t>L16bit</t>
    </r>
    <phoneticPr fontId="1" type="noConversion"/>
  </si>
  <si>
    <r>
      <t>0-65535</t>
    </r>
    <r>
      <rPr>
        <sz val="11"/>
        <color theme="1"/>
        <rFont val="宋体"/>
        <family val="3"/>
        <charset val="134"/>
      </rPr>
      <t>对应</t>
    </r>
    <r>
      <rPr>
        <sz val="11"/>
        <color theme="1"/>
        <rFont val="Times New Roman"/>
        <family val="1"/>
      </rPr>
      <t>0-360°</t>
    </r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</si>
  <si>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位置传感器原始数据</t>
    </r>
    <r>
      <rPr>
        <sz val="11"/>
        <color theme="1"/>
        <rFont val="Times New Roman"/>
        <family val="1"/>
      </rPr>
      <t>H16bit</t>
    </r>
    <phoneticPr fontId="1" type="noConversion"/>
  </si>
  <si>
    <t>R/W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</si>
  <si>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机械位置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电角度（</t>
    </r>
    <r>
      <rPr>
        <sz val="11"/>
        <color theme="1"/>
        <rFont val="Times New Roman"/>
        <family val="1"/>
      </rPr>
      <t>16bit</t>
    </r>
    <r>
      <rPr>
        <sz val="11"/>
        <color theme="1"/>
        <rFont val="宋体"/>
        <family val="3"/>
        <charset val="134"/>
      </rPr>
      <t>表示）转换系数</t>
    </r>
    <r>
      <rPr>
        <sz val="11"/>
        <color theme="1"/>
        <rFont val="Times New Roman"/>
        <family val="1"/>
      </rPr>
      <t>H16bit</t>
    </r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</si>
  <si>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机械位置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电角度（</t>
    </r>
    <r>
      <rPr>
        <sz val="11"/>
        <color theme="1"/>
        <rFont val="Times New Roman"/>
        <family val="1"/>
      </rPr>
      <t>16bit</t>
    </r>
    <r>
      <rPr>
        <sz val="11"/>
        <color theme="1"/>
        <rFont val="宋体"/>
        <family val="3"/>
        <charset val="134"/>
      </rPr>
      <t>表示）转换系数</t>
    </r>
    <r>
      <rPr>
        <sz val="11"/>
        <color theme="1"/>
        <rFont val="Times New Roman"/>
        <family val="1"/>
      </rPr>
      <t>L16bit</t>
    </r>
    <phoneticPr fontId="1" type="noConversion"/>
  </si>
  <si>
    <t>0x004</t>
  </si>
  <si>
    <t>0x005</t>
  </si>
  <si>
    <t>0x006</t>
  </si>
  <si>
    <t>0x011</t>
  </si>
  <si>
    <t>0x012</t>
  </si>
  <si>
    <t>0x013</t>
  </si>
  <si>
    <t>0x014</t>
  </si>
  <si>
    <t>0x015</t>
  </si>
  <si>
    <t>0x016</t>
  </si>
  <si>
    <t>电流环运算模块寄存器空间</t>
    <phoneticPr fontId="1" type="noConversion"/>
  </si>
  <si>
    <t>0x007</t>
  </si>
  <si>
    <t>0x008</t>
  </si>
  <si>
    <t>0x009</t>
  </si>
  <si>
    <r>
      <t xml:space="preserve">AXIS1 </t>
    </r>
    <r>
      <rPr>
        <sz val="11"/>
        <color theme="1"/>
        <rFont val="宋体"/>
        <family val="3"/>
        <charset val="134"/>
      </rPr>
      <t>反变换电角度补偿值</t>
    </r>
    <phoneticPr fontId="1" type="noConversion"/>
  </si>
  <si>
    <t>0x00B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</si>
  <si>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电气零点</t>
    </r>
    <phoneticPr fontId="1" type="noConversion"/>
  </si>
  <si>
    <t>R/W</t>
    <phoneticPr fontId="1" type="noConversion"/>
  </si>
  <si>
    <t>0x002</t>
  </si>
  <si>
    <t>0x002</t>
    <phoneticPr fontId="1" type="noConversion"/>
  </si>
  <si>
    <t>0x003</t>
  </si>
  <si>
    <t>0x003</t>
    <phoneticPr fontId="1" type="noConversion"/>
  </si>
  <si>
    <t>OFFSET</t>
    <phoneticPr fontId="1" type="noConversion"/>
  </si>
  <si>
    <t>16bit, signed, Q15, pu</t>
  </si>
  <si>
    <r>
      <t>AXIS1 Alpha</t>
    </r>
    <r>
      <rPr>
        <sz val="11"/>
        <color theme="1"/>
        <rFont val="宋体"/>
        <family val="3"/>
        <charset val="134"/>
      </rPr>
      <t>轴电流标幺值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</si>
  <si>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轴电流标幺值</t>
    </r>
    <phoneticPr fontId="1" type="noConversion"/>
  </si>
  <si>
    <t>16bit, signed, Q15, pu</t>
    <phoneticPr fontId="1" type="noConversion"/>
  </si>
  <si>
    <t>16bit, signed, Q15, pu</t>
    <phoneticPr fontId="1" type="noConversion"/>
  </si>
  <si>
    <t>0x001</t>
  </si>
  <si>
    <t>0x004</t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</si>
  <si>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Ki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L16bit</t>
    </r>
    <phoneticPr fontId="1" type="noConversion"/>
  </si>
  <si>
    <t>16bit, signed, Q15, pu</t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</si>
  <si>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Kp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L16bit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</si>
  <si>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Ki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L16bit</t>
    </r>
    <phoneticPr fontId="1" type="noConversion"/>
  </si>
  <si>
    <t>16bit, signed, Q15, pu</t>
    <phoneticPr fontId="1" type="noConversion"/>
  </si>
  <si>
    <t>0x00A</t>
    <phoneticPr fontId="1" type="noConversion"/>
  </si>
  <si>
    <t>0x00C</t>
    <phoneticPr fontId="1" type="noConversion"/>
  </si>
  <si>
    <t>0x00D</t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</si>
  <si>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Kp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H16bit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</si>
  <si>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Ki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H16bit</t>
    </r>
    <phoneticPr fontId="1" type="noConversion"/>
  </si>
  <si>
    <t>H16(32bit, signed, Q15)</t>
  </si>
  <si>
    <t>L16(32bit, signed, Q15)</t>
    <phoneticPr fontId="1" type="noConversion"/>
  </si>
  <si>
    <t>L16(32bit, signed, Q15)</t>
    <phoneticPr fontId="1" type="noConversion"/>
  </si>
  <si>
    <t>0x010</t>
    <phoneticPr fontId="1" type="noConversion"/>
  </si>
  <si>
    <t>R/W</t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</si>
  <si>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轴电流控制器积分寄存器</t>
    </r>
    <r>
      <rPr>
        <sz val="11"/>
        <color theme="1"/>
        <rFont val="Times New Roman"/>
        <family val="1"/>
      </rPr>
      <t>H16bit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</si>
  <si>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轴电流控制器积分寄存器</t>
    </r>
    <r>
      <rPr>
        <sz val="11"/>
        <color theme="1"/>
        <rFont val="Times New Roman"/>
        <family val="1"/>
      </rPr>
      <t>L16bit</t>
    </r>
    <phoneticPr fontId="1" type="noConversion"/>
  </si>
  <si>
    <t>Ro</t>
    <phoneticPr fontId="1" type="noConversion"/>
  </si>
  <si>
    <t>H16(32bit, signed, Q15)</t>
    <phoneticPr fontId="1" type="noConversion"/>
  </si>
  <si>
    <t>L16(32bit, signed, Q15)</t>
    <phoneticPr fontId="1" type="noConversion"/>
  </si>
  <si>
    <t>16bit, signed, Q15, pu</t>
    <phoneticPr fontId="1" type="noConversion"/>
  </si>
  <si>
    <t>0x017</t>
  </si>
  <si>
    <t>R/W</t>
    <phoneticPr fontId="1" type="noConversion"/>
  </si>
  <si>
    <t>0x018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</si>
  <si>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电流控制器控制寄存器</t>
    </r>
    <phoneticPr fontId="1" type="noConversion"/>
  </si>
  <si>
    <t>AXISn Regs: AXIS1_OFFSET + 0x020*(n-1)</t>
    <phoneticPr fontId="1" type="noConversion"/>
  </si>
  <si>
    <t>AXISn Regs: AXIS1_OFFSET + 0x020*(n-1)</t>
    <phoneticPr fontId="1" type="noConversion"/>
  </si>
  <si>
    <t>AXISn Regs: AXIS1_OFFSET + 0x080*(n-1)</t>
    <phoneticPr fontId="1" type="noConversion"/>
  </si>
  <si>
    <t>BITS</t>
    <phoneticPr fontId="1" type="noConversion"/>
  </si>
  <si>
    <t>Data Format</t>
    <phoneticPr fontId="1" type="noConversion"/>
  </si>
  <si>
    <t>Data Format</t>
    <phoneticPr fontId="1" type="noConversion"/>
  </si>
  <si>
    <t>Data Format</t>
    <phoneticPr fontId="1" type="noConversion"/>
  </si>
  <si>
    <t>Default Value</t>
    <phoneticPr fontId="1" type="noConversion"/>
  </si>
  <si>
    <r>
      <rPr>
        <b/>
        <sz val="11"/>
        <color theme="1"/>
        <rFont val="宋体"/>
        <family val="3"/>
        <charset val="134"/>
      </rPr>
      <t>电流环运算模块寄存器</t>
    </r>
    <phoneticPr fontId="1" type="noConversion"/>
  </si>
  <si>
    <r>
      <t>AXIS1 Beta</t>
    </r>
    <r>
      <rPr>
        <sz val="11"/>
        <color theme="1"/>
        <rFont val="宋体"/>
        <family val="3"/>
        <charset val="134"/>
      </rPr>
      <t>轴电流标幺值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</si>
  <si>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轴电流标幺值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</si>
  <si>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Kp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H16bit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</si>
  <si>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Kp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L16bit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</si>
  <si>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</t>
    </r>
    <r>
      <rPr>
        <sz val="11"/>
        <color theme="1"/>
        <rFont val="Times New Roman"/>
        <family val="1"/>
      </rPr>
      <t>Ki</t>
    </r>
    <r>
      <rPr>
        <sz val="11"/>
        <color theme="1"/>
        <rFont val="宋体"/>
        <family val="3"/>
        <charset val="134"/>
      </rPr>
      <t>标幺值</t>
    </r>
    <r>
      <rPr>
        <sz val="11"/>
        <color theme="1"/>
        <rFont val="Times New Roman"/>
        <family val="1"/>
      </rPr>
      <t>H16bit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</si>
  <si>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轴电流控制器电压补偿值（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family val="3"/>
        <charset val="134"/>
      </rPr>
      <t>轴输出补偿）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</si>
  <si>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轴电流控制器电压补偿值（</t>
    </r>
    <r>
      <rPr>
        <sz val="11"/>
        <color theme="1"/>
        <rFont val="Times New Roman"/>
        <family val="1"/>
      </rPr>
      <t>Q</t>
    </r>
    <r>
      <rPr>
        <sz val="11"/>
        <color theme="1"/>
        <rFont val="宋体"/>
        <family val="3"/>
        <charset val="134"/>
      </rPr>
      <t>轴输出补偿）</t>
    </r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</si>
  <si>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电压圆限制半径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</si>
  <si>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轴电流控制器参考电流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</si>
  <si>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轴电流控制器参考电流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</si>
  <si>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轴电流控制器积分寄存器</t>
    </r>
    <r>
      <rPr>
        <sz val="11"/>
        <color theme="1"/>
        <rFont val="Times New Roman"/>
        <family val="1"/>
      </rPr>
      <t>H16bit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</si>
  <si>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轴电流控制器积分寄存器</t>
    </r>
    <r>
      <rPr>
        <sz val="11"/>
        <color theme="1"/>
        <rFont val="Times New Roman"/>
        <family val="1"/>
      </rPr>
      <t>L16bit</t>
    </r>
    <phoneticPr fontId="1" type="noConversion"/>
  </si>
  <si>
    <r>
      <t>AXIS1 D</t>
    </r>
    <r>
      <rPr>
        <sz val="11"/>
        <color theme="1"/>
        <rFont val="宋体"/>
        <family val="3"/>
        <charset val="134"/>
      </rPr>
      <t>轴电压输出</t>
    </r>
    <phoneticPr fontId="1" type="noConversion"/>
  </si>
  <si>
    <r>
      <t>AXIS1 Q</t>
    </r>
    <r>
      <rPr>
        <sz val="11"/>
        <color theme="1"/>
        <rFont val="宋体"/>
        <family val="3"/>
        <charset val="134"/>
      </rPr>
      <t>轴电压输出</t>
    </r>
    <phoneticPr fontId="1" type="noConversion"/>
  </si>
  <si>
    <t>AXIS1 V相电流采样数据</t>
    <phoneticPr fontId="1" type="noConversion"/>
  </si>
  <si>
    <t>AXIS1 相电流保护正向阈值</t>
    <phoneticPr fontId="1" type="noConversion"/>
  </si>
  <si>
    <t>AXIS1 U相电流采样数据</t>
    <phoneticPr fontId="1" type="noConversion"/>
  </si>
  <si>
    <t>AXIS1 相电流保护负向阈值</t>
    <phoneticPr fontId="1" type="noConversion"/>
  </si>
  <si>
    <t>AXIS1 电流极性配置寄存器</t>
    <phoneticPr fontId="1" type="noConversion"/>
  </si>
  <si>
    <t>定义相电流方向：驱动器到电机为正,对应bit为1，电机到驱动器为负，对应bit为0</t>
    <phoneticPr fontId="1" type="noConversion"/>
  </si>
  <si>
    <t>AXIS1 ACR锁存U相电流值</t>
    <phoneticPr fontId="1" type="noConversion"/>
  </si>
  <si>
    <t>AXIS1 ACR锁存V相电流值</t>
    <phoneticPr fontId="1" type="noConversion"/>
  </si>
  <si>
    <t xml:space="preserve">bits:
bit0: U相电流极性
bit1: V相电流极性 </t>
    <phoneticPr fontId="1" type="noConversion"/>
  </si>
  <si>
    <t>AXIS1 U相电流数据偏置</t>
    <phoneticPr fontId="1" type="noConversion"/>
  </si>
  <si>
    <t>AXIS1 V相电流数据偏置</t>
    <phoneticPr fontId="1" type="noConversion"/>
  </si>
  <si>
    <t xml:space="preserve"> </t>
    <phoneticPr fontId="1" type="noConversion"/>
  </si>
  <si>
    <t>载波模块寄存器</t>
    <phoneticPr fontId="1" type="noConversion"/>
  </si>
  <si>
    <t>AXISn Regs: AXIS1_OFFSET + 0x010*(n-1)</t>
    <phoneticPr fontId="1" type="noConversion"/>
  </si>
  <si>
    <t>0x0000</t>
    <phoneticPr fontId="1" type="noConversion"/>
  </si>
  <si>
    <t>0x00FF</t>
    <phoneticPr fontId="1" type="noConversion"/>
  </si>
  <si>
    <t>0x0100</t>
    <phoneticPr fontId="1" type="noConversion"/>
  </si>
  <si>
    <t>0x01FF</t>
    <phoneticPr fontId="1" type="noConversion"/>
  </si>
  <si>
    <t>0x0200</t>
    <phoneticPr fontId="1" type="noConversion"/>
  </si>
  <si>
    <t>0x02FF</t>
    <phoneticPr fontId="1" type="noConversion"/>
  </si>
  <si>
    <t>0x0300</t>
    <phoneticPr fontId="1" type="noConversion"/>
  </si>
  <si>
    <t>0x06FF</t>
    <phoneticPr fontId="1" type="noConversion"/>
  </si>
  <si>
    <t>0x0700</t>
    <phoneticPr fontId="1" type="noConversion"/>
  </si>
  <si>
    <t>0x0100</t>
    <phoneticPr fontId="1" type="noConversion"/>
  </si>
  <si>
    <t>0x01FF</t>
    <phoneticPr fontId="1" type="noConversion"/>
  </si>
  <si>
    <t>0x0200</t>
    <phoneticPr fontId="1" type="noConversion"/>
  </si>
  <si>
    <t>0x02FF</t>
    <phoneticPr fontId="1" type="noConversion"/>
  </si>
  <si>
    <t>0x0300</t>
    <phoneticPr fontId="1" type="noConversion"/>
  </si>
  <si>
    <t>0x06FF</t>
    <phoneticPr fontId="1" type="noConversion"/>
  </si>
  <si>
    <t>0x0700</t>
    <phoneticPr fontId="1" type="noConversion"/>
  </si>
  <si>
    <t>0x07FF</t>
    <phoneticPr fontId="1" type="noConversion"/>
  </si>
  <si>
    <r>
      <t>AXIS1 Alpha</t>
    </r>
    <r>
      <rPr>
        <sz val="11"/>
        <color theme="1"/>
        <rFont val="宋体"/>
        <family val="3"/>
        <charset val="134"/>
      </rPr>
      <t>轴电压输出</t>
    </r>
    <phoneticPr fontId="1" type="noConversion"/>
  </si>
  <si>
    <r>
      <t>AXIS1 Beta</t>
    </r>
    <r>
      <rPr>
        <sz val="11"/>
        <color theme="1"/>
        <rFont val="宋体"/>
        <family val="3"/>
        <charset val="134"/>
      </rPr>
      <t>轴电压输出</t>
    </r>
    <phoneticPr fontId="1" type="noConversion"/>
  </si>
  <si>
    <t>0x077F</t>
    <phoneticPr fontId="1" type="noConversion"/>
  </si>
  <si>
    <t>0x0780</t>
    <phoneticPr fontId="1" type="noConversion"/>
  </si>
  <si>
    <t>0x07FF</t>
    <phoneticPr fontId="1" type="noConversion"/>
  </si>
  <si>
    <t>0x0800</t>
    <phoneticPr fontId="1" type="noConversion"/>
  </si>
  <si>
    <t>0x087F</t>
    <phoneticPr fontId="1" type="noConversion"/>
  </si>
  <si>
    <t>0x0880</t>
    <phoneticPr fontId="1" type="noConversion"/>
  </si>
  <si>
    <t>0x08FF</t>
    <phoneticPr fontId="1" type="noConversion"/>
  </si>
  <si>
    <t>非相关信号采集寄存器空间</t>
    <phoneticPr fontId="1" type="noConversion"/>
  </si>
  <si>
    <t>总体控制寄存器空间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</si>
  <si>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位置传感器状态寄存器</t>
    </r>
    <phoneticPr fontId="1" type="noConversion"/>
  </si>
  <si>
    <t>0x006</t>
    <phoneticPr fontId="1" type="noConversion"/>
  </si>
  <si>
    <t>Ro/(W)</t>
    <phoneticPr fontId="1" type="noConversion"/>
  </si>
  <si>
    <t>R/W</t>
    <phoneticPr fontId="1" type="noConversion"/>
  </si>
  <si>
    <t>16bit, unsigned, Q0</t>
    <phoneticPr fontId="1" type="noConversion"/>
  </si>
  <si>
    <r>
      <t>0-65535</t>
    </r>
    <r>
      <rPr>
        <sz val="11"/>
        <color theme="1"/>
        <rFont val="宋体"/>
        <family val="3"/>
        <charset val="134"/>
      </rPr>
      <t>对应</t>
    </r>
    <r>
      <rPr>
        <sz val="11"/>
        <color theme="1"/>
        <rFont val="Times New Roman"/>
        <family val="1"/>
      </rPr>
      <t>0-360°</t>
    </r>
    <phoneticPr fontId="1" type="noConversion"/>
  </si>
  <si>
    <r>
      <t>0-65535</t>
    </r>
    <r>
      <rPr>
        <sz val="11"/>
        <color theme="1"/>
        <rFont val="宋体"/>
        <family val="3"/>
        <charset val="134"/>
      </rPr>
      <t>对应</t>
    </r>
    <r>
      <rPr>
        <sz val="11"/>
        <color theme="1"/>
        <rFont val="Times New Roman"/>
        <family val="1"/>
      </rPr>
      <t>0-360°</t>
    </r>
    <phoneticPr fontId="1" type="noConversion"/>
  </si>
  <si>
    <t>R/W</t>
    <phoneticPr fontId="1" type="noConversion"/>
  </si>
  <si>
    <t>16bit, unsigned, Q0</t>
    <phoneticPr fontId="1" type="noConversion"/>
  </si>
  <si>
    <t>BITS</t>
    <phoneticPr fontId="1" type="noConversion"/>
  </si>
  <si>
    <t>BITS</t>
    <phoneticPr fontId="1" type="noConversion"/>
  </si>
  <si>
    <t>0x008</t>
    <phoneticPr fontId="1" type="noConversion"/>
  </si>
  <si>
    <t>0x009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</si>
  <si>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控制寄存器</t>
    </r>
    <phoneticPr fontId="1" type="noConversion"/>
  </si>
  <si>
    <r>
      <t>Bit0:1:</t>
    </r>
    <r>
      <rPr>
        <sz val="11"/>
        <color theme="1"/>
        <rFont val="宋体"/>
        <family val="3"/>
        <charset val="134"/>
      </rPr>
      <t>电角度及其正余弦计算超时</t>
    </r>
    <r>
      <rPr>
        <sz val="11"/>
        <color theme="1"/>
        <rFont val="Times New Roman"/>
        <family val="1"/>
      </rPr>
      <t xml:space="preserve"> 0:</t>
    </r>
    <r>
      <rPr>
        <sz val="11"/>
        <color theme="1"/>
        <rFont val="宋体"/>
        <family val="3"/>
        <charset val="134"/>
      </rPr>
      <t>正常（写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清除计算超时状态位）</t>
    </r>
    <phoneticPr fontId="1" type="noConversion"/>
  </si>
  <si>
    <t>AXIS1 PWM控制寄存器</t>
    <phoneticPr fontId="1" type="noConversion"/>
  </si>
  <si>
    <t>BITS</t>
    <phoneticPr fontId="1" type="noConversion"/>
  </si>
  <si>
    <r>
      <t>Bit15:</t>
    </r>
    <r>
      <rPr>
        <sz val="11"/>
        <color theme="1"/>
        <rFont val="宋体"/>
        <family val="3"/>
        <charset val="134"/>
      </rPr>
      <t>电压圆限制模式：</t>
    </r>
    <r>
      <rPr>
        <sz val="11"/>
        <color theme="1"/>
        <rFont val="Times New Roman"/>
        <family val="1"/>
      </rPr>
      <t>0 - Q</t>
    </r>
    <r>
      <rPr>
        <sz val="11"/>
        <color theme="1"/>
        <rFont val="宋体"/>
        <family val="3"/>
        <charset val="134"/>
      </rPr>
      <t>轴输出限制模式，电压优先提供</t>
    </r>
    <r>
      <rPr>
        <sz val="11"/>
        <color theme="1"/>
        <rFont val="Times New Roman"/>
        <family val="1"/>
      </rPr>
      <t>D</t>
    </r>
    <r>
      <rPr>
        <sz val="11"/>
        <color theme="1"/>
        <rFont val="宋体"/>
        <family val="3"/>
        <charset val="134"/>
      </rPr>
      <t>轴输出；</t>
    </r>
    <r>
      <rPr>
        <sz val="11"/>
        <color theme="1"/>
        <rFont val="Times New Roman"/>
        <family val="1"/>
      </rPr>
      <t>1 - D</t>
    </r>
    <r>
      <rPr>
        <sz val="11"/>
        <color theme="1"/>
        <rFont val="宋体"/>
        <family val="3"/>
        <charset val="134"/>
      </rPr>
      <t>轴输出限制模式，电压优先提供给</t>
    </r>
    <r>
      <rPr>
        <sz val="11"/>
        <color theme="1"/>
        <rFont val="Times New Roman"/>
        <family val="1"/>
      </rPr>
      <t>Q</t>
    </r>
    <r>
      <rPr>
        <sz val="11"/>
        <color theme="1"/>
        <rFont val="宋体"/>
        <family val="3"/>
        <charset val="134"/>
      </rPr>
      <t>轴输出</t>
    </r>
    <phoneticPr fontId="1" type="noConversion"/>
  </si>
  <si>
    <t>0x019</t>
    <phoneticPr fontId="1" type="noConversion"/>
  </si>
  <si>
    <r>
      <t>AXIS1 Alpha</t>
    </r>
    <r>
      <rPr>
        <sz val="11"/>
        <color theme="1"/>
        <rFont val="宋体"/>
        <family val="3"/>
        <charset val="134"/>
      </rPr>
      <t>轴电压自定义给定</t>
    </r>
    <phoneticPr fontId="1" type="noConversion"/>
  </si>
  <si>
    <r>
      <t>AXIS1 Beta</t>
    </r>
    <r>
      <rPr>
        <sz val="11"/>
        <color theme="1"/>
        <rFont val="宋体"/>
        <family val="3"/>
        <charset val="134"/>
      </rPr>
      <t>轴电压自定义给定</t>
    </r>
    <phoneticPr fontId="1" type="noConversion"/>
  </si>
  <si>
    <t>R/W</t>
    <phoneticPr fontId="1" type="noConversion"/>
  </si>
  <si>
    <t>R/W</t>
    <phoneticPr fontId="1" type="noConversion"/>
  </si>
  <si>
    <t>16bit, signed, Q15, pu</t>
    <phoneticPr fontId="1" type="noConversion"/>
  </si>
  <si>
    <t>base 2/3*Udc(rated voltage)</t>
    <phoneticPr fontId="1" type="noConversion"/>
  </si>
  <si>
    <t>base 2/3*Udc(rated voltage)</t>
    <phoneticPr fontId="1" type="noConversion"/>
  </si>
  <si>
    <r>
      <t>AXIS1 SVPWM</t>
    </r>
    <r>
      <rPr>
        <sz val="11"/>
        <color theme="1"/>
        <rFont val="宋体"/>
        <family val="3"/>
        <charset val="134"/>
      </rPr>
      <t>调制电压输入来源选择</t>
    </r>
    <phoneticPr fontId="1" type="noConversion"/>
  </si>
  <si>
    <t>BITS</t>
    <phoneticPr fontId="1" type="noConversion"/>
  </si>
  <si>
    <t>Bit0:自举控制位：1：使能自举，用于自举地电容充电，0：自举模式关闭（优先级高于bit1）
Bit1:PWM使能控制位：1：PWM使能，0：PWM禁能（必须bit0为0才能使能）（bit15置1会清零该位）
bit15:PWMUNLOCKState: 0:安全模块输入PWMLock信号，封锁PWM. 1：安全模块无封锁信号，PWM使能响应bit1状态</t>
    <phoneticPr fontId="1" type="noConversion"/>
  </si>
  <si>
    <t>0x000</t>
    <phoneticPr fontId="1" type="noConversion"/>
  </si>
  <si>
    <t>16bit, signed, Q0</t>
    <phoneticPr fontId="1" type="noConversion"/>
  </si>
  <si>
    <t>母线电压采样原始数据</t>
    <phoneticPr fontId="1" type="noConversion"/>
  </si>
  <si>
    <t>安全监控寄存器空间</t>
    <phoneticPr fontId="1" type="noConversion"/>
  </si>
  <si>
    <t>安全监控寄存器空间</t>
    <phoneticPr fontId="1" type="noConversion"/>
  </si>
  <si>
    <t>0x0800</t>
    <phoneticPr fontId="1" type="noConversion"/>
  </si>
  <si>
    <t>0x087F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</si>
  <si>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电角度</t>
    </r>
    <phoneticPr fontId="1" type="noConversion"/>
  </si>
  <si>
    <r>
      <t>Bit0:0:</t>
    </r>
    <r>
      <rPr>
        <sz val="11"/>
        <color theme="1"/>
        <rFont val="宋体"/>
        <family val="3"/>
        <charset val="134"/>
      </rPr>
      <t>电压输入来自电流控制器；</t>
    </r>
    <r>
      <rPr>
        <sz val="11"/>
        <color theme="1"/>
        <rFont val="Times New Roman"/>
        <family val="1"/>
      </rPr>
      <t>1-</t>
    </r>
    <r>
      <rPr>
        <sz val="11"/>
        <color theme="1"/>
        <rFont val="宋体"/>
        <family val="3"/>
        <charset val="134"/>
      </rPr>
      <t>电压输入来自自定义寄存器（</t>
    </r>
    <r>
      <rPr>
        <sz val="11"/>
        <color theme="1"/>
        <rFont val="Times New Roman"/>
        <family val="1"/>
      </rPr>
      <t>0x61,0x62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</si>
  <si>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e.g.: 1000</t>
    </r>
    <r>
      <rPr>
        <sz val="11"/>
        <color theme="1"/>
        <rFont val="宋体"/>
        <family val="3"/>
        <charset val="134"/>
      </rPr>
      <t>位置增量对应一个电角度范围，则转换系数</t>
    </r>
    <r>
      <rPr>
        <sz val="11"/>
        <color theme="1"/>
        <rFont val="Times New Roman"/>
        <family val="1"/>
      </rPr>
      <t>Q16</t>
    </r>
    <r>
      <rPr>
        <sz val="11"/>
        <color theme="1"/>
        <rFont val="宋体"/>
        <family val="3"/>
        <charset val="134"/>
      </rPr>
      <t>表示为</t>
    </r>
    <r>
      <rPr>
        <sz val="11"/>
        <color theme="1"/>
        <rFont val="Times New Roman"/>
        <family val="1"/>
      </rPr>
      <t>65535/1000*(2^16)</t>
    </r>
    <phoneticPr fontId="1" type="noConversion"/>
  </si>
  <si>
    <t>H16(32bit, unsigned, Q16)</t>
    <phoneticPr fontId="1" type="noConversion"/>
  </si>
  <si>
    <t>L16(32bit, unsigned, Q16)</t>
    <phoneticPr fontId="1" type="noConversion"/>
  </si>
  <si>
    <t>0x020</t>
    <phoneticPr fontId="1" type="noConversion"/>
  </si>
  <si>
    <t>0x021</t>
    <phoneticPr fontId="1" type="noConversion"/>
  </si>
  <si>
    <t>0x022</t>
    <phoneticPr fontId="1" type="noConversion"/>
  </si>
  <si>
    <t>数字量输入</t>
    <phoneticPr fontId="1" type="noConversion"/>
  </si>
  <si>
    <t>Ro</t>
    <phoneticPr fontId="1" type="noConversion"/>
  </si>
  <si>
    <t>bits</t>
    <phoneticPr fontId="1" type="noConversion"/>
  </si>
  <si>
    <t>数字量输出</t>
    <phoneticPr fontId="1" type="noConversion"/>
  </si>
  <si>
    <t>R/W</t>
    <phoneticPr fontId="1" type="noConversion"/>
  </si>
  <si>
    <t>bits</t>
    <phoneticPr fontId="1" type="noConversion"/>
  </si>
  <si>
    <t>bit15:bit0表示digital input15~digital input0</t>
    <phoneticPr fontId="1" type="noConversion"/>
  </si>
  <si>
    <t>bit15:bit0表示digital output15~digital output0</t>
    <phoneticPr fontId="1" type="noConversion"/>
  </si>
  <si>
    <t xml:space="preserve">地址空间划分为：
1、电流采样寄存器空间（4*2路电流采集及数据格式变换）
2、位置传感器模块寄存器空间（传感器采集及数据变换、角度正余弦计算）【可考虑增加转速计算、转速滤波，结果直接用于反变换角度补偿】（4路位置传感器数据采集）
3、电流环运算模块寄存器空间（坐标变换、电流调节器、反变换、SV调制）*4
4、载波模块寄存器空间（4路IPM驱动、全局同步脉冲提供）
5、安全监控寄存器空间（监控4轴过流、IPM故障、或其他硬件保护信号）
6、数字输入输出寄存器空间
</t>
  </si>
  <si>
    <t>看门狗计数器溢出设定</t>
    <phoneticPr fontId="1" type="noConversion"/>
  </si>
  <si>
    <t>喂狗寄存器</t>
    <phoneticPr fontId="1" type="noConversion"/>
  </si>
  <si>
    <t>Wo</t>
    <phoneticPr fontId="1" type="noConversion"/>
  </si>
  <si>
    <t>unit us</t>
    <phoneticPr fontId="1" type="noConversion"/>
  </si>
  <si>
    <t>16bit unsigned</t>
  </si>
  <si>
    <t>16bit unsigned</t>
    <phoneticPr fontId="1" type="noConversion"/>
  </si>
  <si>
    <t>\</t>
    <phoneticPr fontId="1" type="noConversion"/>
  </si>
  <si>
    <t>bits</t>
  </si>
  <si>
    <t>保护使能寄存器</t>
    <phoneticPr fontId="1" type="noConversion"/>
  </si>
  <si>
    <t>故障状态清除寄存器</t>
    <phoneticPr fontId="1" type="noConversion"/>
  </si>
  <si>
    <t>bit15：看门狗溢出故障
bit7: Axis4 IPM fault
bit6: Axis4 OC fault
bit5: Axis3 IPM fault
bit4: Axis3 OC fault
bit3: Axis2 IPM fault
bit2: Axis2 OC fault
bit1: Axis1 IPM fault
bit0: Axis1 OC fault</t>
    <phoneticPr fontId="1" type="noConversion"/>
  </si>
  <si>
    <t>bit定义同"故障状态寄存器RT"</t>
    <phoneticPr fontId="1" type="noConversion"/>
  </si>
  <si>
    <t>对应bit的 monitor enable, bit定义同"故障状态寄存器RT"</t>
    <phoneticPr fontId="1" type="noConversion"/>
  </si>
  <si>
    <t>FPGA程序加载完成判定寄存器</t>
    <phoneticPr fontId="1" type="noConversion"/>
  </si>
  <si>
    <t>RO</t>
    <phoneticPr fontId="1" type="noConversion"/>
  </si>
  <si>
    <t>0x5AF0</t>
    <phoneticPr fontId="1" type="noConversion"/>
  </si>
  <si>
    <t>用于ARM判断FPGA程序是否加载完成，固定值0x5AF0</t>
    <phoneticPr fontId="1" type="noConversion"/>
  </si>
  <si>
    <t>版本号</t>
    <phoneticPr fontId="1" type="noConversion"/>
  </si>
  <si>
    <t>高8位为小版本号；低八位为调试备注版本号，正式发布应当为0；</t>
    <phoneticPr fontId="1" type="noConversion"/>
  </si>
  <si>
    <t>高8位为大版本号；低八位为中版本号；</t>
    <phoneticPr fontId="1" type="noConversion"/>
  </si>
  <si>
    <t>具体使用说明待定</t>
    <phoneticPr fontId="1" type="noConversion"/>
  </si>
  <si>
    <t>预留</t>
    <phoneticPr fontId="1" type="noConversion"/>
  </si>
  <si>
    <t>PWM输出通道使能寄存器</t>
    <phoneticPr fontId="1" type="noConversion"/>
  </si>
  <si>
    <t>bit3:Axis4 PWM输出通道使能
bit2:Axis3 PWM输出通道使能
bit1:Axis2 PWM输出通道使能
bit0:Axis1 PWM输出通道使能</t>
    <phoneticPr fontId="1" type="noConversion"/>
  </si>
  <si>
    <t>写入1清除对应的锁存故障, bit定义同"故障状态寄存器RT"，自动清零</t>
    <phoneticPr fontId="1" type="noConversion"/>
  </si>
  <si>
    <t>写入0x5AA5喂狗，自动清零</t>
    <phoneticPr fontId="1" type="noConversion"/>
  </si>
  <si>
    <t>故障状态寄存器RT（real time）</t>
    <phoneticPr fontId="1" type="noConversion"/>
  </si>
  <si>
    <t>故障状态寄存器LOCK（locked）</t>
    <phoneticPr fontId="1" type="noConversion"/>
  </si>
  <si>
    <r>
      <t xml:space="preserve">AXIS1 </t>
    </r>
    <r>
      <rPr>
        <sz val="11"/>
        <color theme="1"/>
        <rFont val="宋体"/>
        <family val="3"/>
        <charset val="134"/>
      </rPr>
      <t>虚拟电角度设置</t>
    </r>
    <phoneticPr fontId="1" type="noConversion"/>
  </si>
  <si>
    <r>
      <t>DMC</t>
    </r>
    <r>
      <rPr>
        <sz val="11"/>
        <rFont val="微软雅黑"/>
        <family val="2"/>
        <charset val="134"/>
      </rPr>
      <t>位置传感器监听通道1原始数据H16bit</t>
    </r>
    <phoneticPr fontId="1" type="noConversion"/>
  </si>
  <si>
    <r>
      <t>DMC</t>
    </r>
    <r>
      <rPr>
        <sz val="11"/>
        <rFont val="微软雅黑"/>
        <family val="2"/>
        <charset val="134"/>
      </rPr>
      <t>位置传感器监听通道1原始数据L16bit</t>
    </r>
    <phoneticPr fontId="1" type="noConversion"/>
  </si>
  <si>
    <r>
      <t>DMC</t>
    </r>
    <r>
      <rPr>
        <sz val="11"/>
        <rFont val="微软雅黑"/>
        <family val="2"/>
        <charset val="134"/>
      </rPr>
      <t>位置传感器监听通道2原始数据H16bit</t>
    </r>
    <phoneticPr fontId="1" type="noConversion"/>
  </si>
  <si>
    <r>
      <t>DMC</t>
    </r>
    <r>
      <rPr>
        <sz val="11"/>
        <rFont val="微软雅黑"/>
        <family val="2"/>
        <charset val="134"/>
      </rPr>
      <t>位置传感器监听通道2原始数据L16bit</t>
    </r>
    <phoneticPr fontId="1" type="noConversion"/>
  </si>
  <si>
    <t>仅支持tamagawa协议</t>
    <phoneticPr fontId="1" type="noConversion"/>
  </si>
  <si>
    <t>reserve</t>
    <phoneticPr fontId="1" type="noConversion"/>
  </si>
  <si>
    <t>FPGA复位控制</t>
    <phoneticPr fontId="1" type="noConversion"/>
  </si>
  <si>
    <t>写入0xFFAA进行复位，复位后需要重新check“FPGA程序加载完成判定寄存器”</t>
    <phoneticPr fontId="1" type="noConversion"/>
  </si>
  <si>
    <t>自由运行计数器</t>
    <phoneticPr fontId="1" type="noConversion"/>
  </si>
  <si>
    <t>多个clk自增1，用于表示FPGA系统运行</t>
    <phoneticPr fontId="1" type="noConversion"/>
  </si>
  <si>
    <t>0x00A</t>
    <phoneticPr fontId="1" type="noConversion"/>
  </si>
  <si>
    <t>Ro</t>
    <phoneticPr fontId="1" type="noConversion"/>
  </si>
  <si>
    <t>16bit, unsigned</t>
    <phoneticPr fontId="1" type="noConversion"/>
  </si>
  <si>
    <t>仅用于通信式编码器，暂只支持DMC</t>
    <phoneticPr fontId="1" type="noConversion"/>
  </si>
  <si>
    <t>0x00B</t>
    <phoneticPr fontId="1" type="noConversion"/>
  </si>
  <si>
    <t>编码器无反馈值计数器</t>
    <phoneticPr fontId="1" type="noConversion"/>
  </si>
  <si>
    <r>
      <rPr>
        <sz val="11"/>
        <color rgb="FFFF0000"/>
        <rFont val="宋体"/>
        <family val="1"/>
        <charset val="134"/>
      </rPr>
      <t>编码器</t>
    </r>
    <r>
      <rPr>
        <sz val="11"/>
        <color rgb="FFFF0000"/>
        <rFont val="Times New Roman"/>
        <family val="1"/>
      </rPr>
      <t>CRC</t>
    </r>
    <r>
      <rPr>
        <sz val="11"/>
        <color rgb="FFFF0000"/>
        <rFont val="宋体"/>
        <family val="1"/>
        <charset val="134"/>
      </rPr>
      <t>校验故障计数器</t>
    </r>
    <phoneticPr fontId="1" type="noConversion"/>
  </si>
  <si>
    <r>
      <rPr>
        <sz val="11"/>
        <color rgb="FFFF0000"/>
        <rFont val="宋体"/>
        <family val="1"/>
        <charset val="134"/>
      </rPr>
      <t>仅用于通信式编码器，暂只支持</t>
    </r>
    <r>
      <rPr>
        <sz val="11"/>
        <color rgb="FFFF0000"/>
        <rFont val="Times New Roman"/>
        <family val="1"/>
      </rPr>
      <t>DMC</t>
    </r>
    <r>
      <rPr>
        <sz val="11"/>
        <color rgb="FFFF0000"/>
        <rFont val="宋体"/>
        <family val="1"/>
        <charset val="134"/>
      </rPr>
      <t>、</t>
    </r>
    <r>
      <rPr>
        <sz val="11"/>
        <color rgb="FFFF0000"/>
        <rFont val="Times New Roman"/>
        <family val="1"/>
        <charset val="134"/>
      </rPr>
      <t>BISSC</t>
    </r>
    <phoneticPr fontId="1" type="noConversion"/>
  </si>
  <si>
    <t>0x00C</t>
  </si>
  <si>
    <t>亨氏乐编码器软件标定控制寄存器</t>
  </si>
  <si>
    <t>R/W</t>
  </si>
  <si>
    <t xml:space="preserve">16bit, unsigned </t>
  </si>
  <si>
    <t>bit15写1进入自动标定模式；bit3:0为只读，反馈标定状态，0xA表示标定完成</t>
  </si>
  <si>
    <r>
      <t>Bit[3:0]:</t>
    </r>
    <r>
      <rPr>
        <sz val="11"/>
        <color theme="1"/>
        <rFont val="宋体"/>
        <family val="1"/>
        <charset val="134"/>
      </rPr>
      <t>位置</t>
    </r>
    <r>
      <rPr>
        <sz val="11"/>
        <color theme="1"/>
        <rFont val="宋体"/>
        <family val="3"/>
        <charset val="134"/>
      </rPr>
      <t>来源控制，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：NULL（位置输出恒定为0），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DMC</t>
    </r>
    <r>
      <rPr>
        <sz val="11"/>
        <color theme="1"/>
        <rFont val="宋体"/>
        <family val="3"/>
        <charset val="134"/>
      </rPr>
      <t>驱动输出位置</t>
    </r>
    <r>
      <rPr>
        <sz val="11"/>
        <color theme="1"/>
        <rFont val="Times New Roman"/>
        <family val="1"/>
      </rPr>
      <t xml:space="preserve"> 2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ABZ</t>
    </r>
    <r>
      <rPr>
        <sz val="11"/>
        <color theme="1"/>
        <rFont val="宋体"/>
        <family val="3"/>
        <charset val="134"/>
      </rPr>
      <t>驱动输出位置</t>
    </r>
    <r>
      <rPr>
        <sz val="11"/>
        <color theme="1"/>
        <rFont val="Times New Roman"/>
        <family val="1"/>
      </rPr>
      <t xml:space="preserve"> 3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BISSC</t>
    </r>
    <r>
      <rPr>
        <sz val="11"/>
        <color theme="1"/>
        <rFont val="宋体"/>
        <family val="3"/>
        <charset val="134"/>
      </rPr>
      <t xml:space="preserve">驱动输出位置
</t>
    </r>
    <r>
      <rPr>
        <sz val="11"/>
        <color theme="1"/>
        <rFont val="Times New Roman"/>
        <family val="1"/>
      </rPr>
      <t>Bit14</t>
    </r>
    <r>
      <rPr>
        <sz val="11"/>
        <color theme="1"/>
        <rFont val="宋体"/>
        <family val="1"/>
        <charset val="134"/>
      </rPr>
      <t>：虚拟电角度使能控制，1：使能虚拟电角度，0：使能机械位置转换电角度</t>
    </r>
    <r>
      <rPr>
        <sz val="11"/>
        <color theme="1"/>
        <rFont val="Times New Roman"/>
        <family val="1"/>
      </rPr>
      <t xml:space="preserve">
Bit15</t>
    </r>
    <r>
      <rPr>
        <sz val="11"/>
        <color theme="1"/>
        <rFont val="宋体"/>
        <family val="3"/>
        <charset val="134"/>
      </rPr>
      <t>：角度极性控制，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：电角度增加方向与机械位置反向，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3"/>
        <charset val="134"/>
      </rPr>
      <t>：电角度增加方向与机械位置同相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</si>
</sst>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微软雅黑"/>
      <family val="2"/>
      <charset val="134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3"/>
      <charset val="134"/>
    </font>
    <font>
      <b/>
      <sz val="11"/>
      <color rgb="FF00B050"/>
      <name val="Times New Roman"/>
      <family val="1"/>
    </font>
    <font>
      <b/>
      <sz val="11"/>
      <color rgb="FF00B05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rgb="FF0070C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theme="1"/>
      <name val="宋体"/>
      <family val="1"/>
      <charset val="134"/>
    </font>
    <font>
      <sz val="11"/>
      <color rgb="FFFF0000"/>
      <name val="Times New Roman"/>
      <family val="1"/>
    </font>
    <font>
      <sz val="11"/>
      <name val="微软雅黑"/>
      <family val="2"/>
      <charset val="134"/>
    </font>
    <font>
      <sz val="11"/>
      <color rgb="FFFF0000"/>
      <name val="Times New Roman"/>
      <family val="1"/>
      <charset val="134"/>
    </font>
    <font>
      <sz val="11"/>
      <color rgb="FFFF0000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11" fillId="2" borderId="1" xfId="0" applyFont="1" applyFill="1" applyBorder="1"/>
    <xf numFmtId="0" fontId="11" fillId="2" borderId="7" xfId="0" applyFont="1" applyFill="1" applyBorder="1"/>
    <xf numFmtId="0" fontId="11" fillId="2" borderId="5" xfId="0" applyFont="1" applyFill="1" applyBorder="1"/>
    <xf numFmtId="0" fontId="2" fillId="4" borderId="7" xfId="0" applyFont="1" applyFill="1" applyBorder="1" applyAlignment="1">
      <alignment horizontal="left" vertical="top" wrapText="1"/>
    </xf>
    <xf numFmtId="0" fontId="4" fillId="2" borderId="0" xfId="0" applyFont="1" applyFill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1" fillId="2" borderId="12" xfId="0" applyFont="1" applyFill="1" applyBorder="1"/>
    <xf numFmtId="0" fontId="14" fillId="0" borderId="0" xfId="0" applyFont="1" applyAlignment="1">
      <alignment vertical="center" wrapText="1"/>
    </xf>
    <xf numFmtId="0" fontId="16" fillId="0" borderId="0" xfId="0" applyFont="1"/>
    <xf numFmtId="0" fontId="17" fillId="4" borderId="1" xfId="0" applyFont="1" applyFill="1" applyBorder="1"/>
    <xf numFmtId="0" fontId="16" fillId="4" borderId="1" xfId="0" applyFont="1" applyFill="1" applyBorder="1"/>
    <xf numFmtId="0" fontId="18" fillId="4" borderId="1" xfId="0" applyFont="1" applyFill="1" applyBorder="1"/>
    <xf numFmtId="0" fontId="19" fillId="4" borderId="1" xfId="0" applyFont="1" applyFill="1" applyBorder="1"/>
    <xf numFmtId="0" fontId="16" fillId="4" borderId="0" xfId="0" applyFont="1" applyFill="1" applyBorder="1"/>
    <xf numFmtId="0" fontId="19" fillId="4" borderId="0" xfId="0" applyFont="1" applyFill="1" applyBorder="1"/>
    <xf numFmtId="0" fontId="18" fillId="4" borderId="0" xfId="0" applyFont="1" applyFill="1" applyBorder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E13" sqref="E13"/>
    </sheetView>
  </sheetViews>
  <sheetFormatPr defaultColWidth="8.85546875" defaultRowHeight="15"/>
  <cols>
    <col min="1" max="1" width="18.28515625" style="1" customWidth="1"/>
    <col min="2" max="2" width="16.28515625" style="1" customWidth="1"/>
    <col min="3" max="3" width="29.28515625" style="1" customWidth="1"/>
    <col min="4" max="4" width="25" style="1" customWidth="1"/>
    <col min="5" max="5" width="8.85546875" style="1"/>
    <col min="6" max="9" width="8.85546875" style="1" customWidth="1"/>
    <col min="10" max="16384" width="8.85546875" style="1"/>
  </cols>
  <sheetData>
    <row r="1" spans="1:4" ht="15.75" thickBot="1">
      <c r="A1" s="11" t="s">
        <v>0</v>
      </c>
      <c r="B1" s="12" t="s">
        <v>1</v>
      </c>
      <c r="C1" s="13" t="s">
        <v>3</v>
      </c>
      <c r="D1" s="14" t="s">
        <v>4</v>
      </c>
    </row>
    <row r="2" spans="1:4">
      <c r="A2" s="8" t="s">
        <v>139</v>
      </c>
      <c r="B2" s="9" t="s">
        <v>140</v>
      </c>
      <c r="C2" s="18" t="s">
        <v>2</v>
      </c>
      <c r="D2" s="10">
        <v>256</v>
      </c>
    </row>
    <row r="3" spans="1:4">
      <c r="A3" s="4" t="s">
        <v>141</v>
      </c>
      <c r="B3" s="2" t="s">
        <v>142</v>
      </c>
      <c r="C3" s="3" t="s">
        <v>5</v>
      </c>
      <c r="D3" s="10">
        <v>256</v>
      </c>
    </row>
    <row r="4" spans="1:4">
      <c r="A4" s="4" t="s">
        <v>143</v>
      </c>
      <c r="B4" s="2" t="s">
        <v>144</v>
      </c>
      <c r="C4" s="3" t="s">
        <v>35</v>
      </c>
      <c r="D4" s="10">
        <v>256</v>
      </c>
    </row>
    <row r="5" spans="1:4">
      <c r="A5" s="4" t="s">
        <v>145</v>
      </c>
      <c r="B5" s="2" t="s">
        <v>146</v>
      </c>
      <c r="C5" s="3" t="s">
        <v>57</v>
      </c>
      <c r="D5" s="5">
        <v>1024</v>
      </c>
    </row>
    <row r="6" spans="1:4">
      <c r="A6" s="4" t="s">
        <v>147</v>
      </c>
      <c r="B6" s="2" t="s">
        <v>158</v>
      </c>
      <c r="C6" s="3" t="s">
        <v>6</v>
      </c>
      <c r="D6" s="5">
        <v>128</v>
      </c>
    </row>
    <row r="7" spans="1:4">
      <c r="A7" s="4" t="s">
        <v>159</v>
      </c>
      <c r="B7" s="2" t="s">
        <v>160</v>
      </c>
      <c r="C7" s="17" t="s">
        <v>165</v>
      </c>
      <c r="D7" s="5">
        <v>128</v>
      </c>
    </row>
    <row r="8" spans="1:4">
      <c r="A8" s="4" t="s">
        <v>161</v>
      </c>
      <c r="B8" s="2" t="s">
        <v>162</v>
      </c>
      <c r="C8" s="17" t="s">
        <v>199</v>
      </c>
      <c r="D8" s="5">
        <v>128</v>
      </c>
    </row>
    <row r="9" spans="1:4">
      <c r="A9" s="30" t="s">
        <v>163</v>
      </c>
      <c r="B9" s="31" t="s">
        <v>164</v>
      </c>
      <c r="C9" s="32" t="s">
        <v>166</v>
      </c>
      <c r="D9" s="5">
        <v>128</v>
      </c>
    </row>
    <row r="10" spans="1:4" ht="15.75" thickBot="1">
      <c r="A10" s="6"/>
      <c r="B10" s="7"/>
      <c r="C10" s="19"/>
      <c r="D10" s="5"/>
    </row>
    <row r="11" spans="1:4">
      <c r="D11" s="1">
        <f>SUM(D2:D10)</f>
        <v>2304</v>
      </c>
    </row>
    <row r="14" spans="1:4">
      <c r="A14" s="42" t="s">
        <v>219</v>
      </c>
      <c r="B14" s="43"/>
      <c r="C14" s="43"/>
      <c r="D14" s="43"/>
    </row>
    <row r="15" spans="1:4">
      <c r="A15" s="43"/>
      <c r="B15" s="43"/>
      <c r="C15" s="43"/>
      <c r="D15" s="43"/>
    </row>
    <row r="16" spans="1:4" ht="95.45" customHeight="1">
      <c r="A16" s="43"/>
      <c r="B16" s="43"/>
      <c r="C16" s="43"/>
      <c r="D16" s="43"/>
    </row>
  </sheetData>
  <mergeCells count="1">
    <mergeCell ref="A14:D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workbookViewId="0">
      <selection activeCell="A9" sqref="A9:XFD9"/>
    </sheetView>
  </sheetViews>
  <sheetFormatPr defaultColWidth="8.85546875" defaultRowHeight="16.5"/>
  <cols>
    <col min="1" max="1" width="14.28515625" style="26" bestFit="1" customWidth="1"/>
    <col min="2" max="2" width="31.7109375" style="26" bestFit="1" customWidth="1"/>
    <col min="3" max="3" width="7.7109375" style="26" bestFit="1" customWidth="1"/>
    <col min="4" max="4" width="24.28515625" style="26" bestFit="1" customWidth="1"/>
    <col min="5" max="5" width="14.7109375" style="26" customWidth="1"/>
    <col min="6" max="6" width="33.7109375" style="26" customWidth="1"/>
    <col min="7" max="7" width="7.140625" style="26" customWidth="1"/>
    <col min="8" max="8" width="13.5703125" style="26" bestFit="1" customWidth="1"/>
    <col min="9" max="9" width="30.5703125" style="26" bestFit="1" customWidth="1"/>
    <col min="10" max="10" width="7.28515625" style="26" bestFit="1" customWidth="1"/>
    <col min="11" max="11" width="22.28515625" style="26" bestFit="1" customWidth="1"/>
    <col min="12" max="12" width="10.7109375" style="26" customWidth="1"/>
    <col min="13" max="13" width="3.42578125" style="26" customWidth="1"/>
    <col min="14" max="14" width="13.5703125" style="26" bestFit="1" customWidth="1"/>
    <col min="15" max="15" width="30.5703125" style="26" bestFit="1" customWidth="1"/>
    <col min="16" max="16" width="7.28515625" style="26" bestFit="1" customWidth="1"/>
    <col min="17" max="17" width="22.28515625" style="26" bestFit="1" customWidth="1"/>
    <col min="18" max="18" width="10.28515625" style="26" customWidth="1"/>
    <col min="19" max="19" width="4.140625" style="26" customWidth="1"/>
    <col min="20" max="20" width="13.5703125" style="26" bestFit="1" customWidth="1"/>
    <col min="21" max="21" width="30.5703125" style="26" bestFit="1" customWidth="1"/>
    <col min="22" max="22" width="7.28515625" style="26" bestFit="1" customWidth="1"/>
    <col min="23" max="23" width="22.28515625" style="26" bestFit="1" customWidth="1"/>
    <col min="24" max="16384" width="8.85546875" style="26"/>
  </cols>
  <sheetData>
    <row r="1" spans="1:6">
      <c r="A1" s="45" t="s">
        <v>32</v>
      </c>
      <c r="B1" s="45"/>
      <c r="C1" s="45"/>
      <c r="D1" s="45"/>
    </row>
    <row r="2" spans="1:6" ht="19.149999999999999" customHeight="1">
      <c r="A2" s="46" t="s">
        <v>33</v>
      </c>
      <c r="B2" s="46"/>
      <c r="C2" s="46" t="s">
        <v>34</v>
      </c>
      <c r="D2" s="46"/>
    </row>
    <row r="3" spans="1:6" ht="16.149999999999999" customHeight="1">
      <c r="A3" s="47" t="s">
        <v>148</v>
      </c>
      <c r="B3" s="48"/>
      <c r="C3" s="47" t="s">
        <v>149</v>
      </c>
      <c r="D3" s="48"/>
    </row>
    <row r="6" spans="1:6" ht="33">
      <c r="A6" s="27" t="s">
        <v>14</v>
      </c>
      <c r="B6" s="27" t="s">
        <v>16</v>
      </c>
      <c r="C6" s="27" t="s">
        <v>15</v>
      </c>
      <c r="D6" s="27" t="s">
        <v>108</v>
      </c>
      <c r="E6" s="27" t="s">
        <v>109</v>
      </c>
      <c r="F6" s="27" t="s">
        <v>40</v>
      </c>
    </row>
    <row r="7" spans="1:6">
      <c r="A7" s="28" t="s">
        <v>196</v>
      </c>
      <c r="B7" s="28" t="s">
        <v>134</v>
      </c>
      <c r="C7" s="28" t="s">
        <v>12</v>
      </c>
      <c r="D7" s="28" t="s">
        <v>13</v>
      </c>
      <c r="E7" s="28">
        <v>0</v>
      </c>
      <c r="F7" s="28"/>
    </row>
    <row r="8" spans="1:6">
      <c r="A8" s="28" t="s">
        <v>10</v>
      </c>
      <c r="B8" s="28" t="s">
        <v>135</v>
      </c>
      <c r="C8" s="28" t="s">
        <v>12</v>
      </c>
      <c r="D8" s="28" t="s">
        <v>13</v>
      </c>
      <c r="E8" s="28">
        <v>0</v>
      </c>
      <c r="F8" s="28"/>
    </row>
    <row r="9" spans="1:6" ht="49.5">
      <c r="A9" s="28" t="s">
        <v>11</v>
      </c>
      <c r="B9" s="28" t="s">
        <v>129</v>
      </c>
      <c r="C9" s="28" t="s">
        <v>12</v>
      </c>
      <c r="D9" s="29" t="s">
        <v>133</v>
      </c>
      <c r="E9" s="28">
        <v>0</v>
      </c>
      <c r="F9" s="28" t="s">
        <v>130</v>
      </c>
    </row>
    <row r="10" spans="1:6">
      <c r="A10" s="28" t="s">
        <v>17</v>
      </c>
      <c r="B10" s="28" t="s">
        <v>127</v>
      </c>
      <c r="C10" s="28" t="s">
        <v>7</v>
      </c>
      <c r="D10" s="28" t="s">
        <v>13</v>
      </c>
      <c r="E10" s="28">
        <v>0</v>
      </c>
      <c r="F10" s="28"/>
    </row>
    <row r="11" spans="1:6">
      <c r="A11" s="28" t="s">
        <v>18</v>
      </c>
      <c r="B11" s="28" t="s">
        <v>125</v>
      </c>
      <c r="C11" s="28" t="s">
        <v>7</v>
      </c>
      <c r="D11" s="28" t="s">
        <v>13</v>
      </c>
      <c r="E11" s="28">
        <v>0</v>
      </c>
      <c r="F11" s="28"/>
    </row>
    <row r="12" spans="1:6">
      <c r="A12" s="28" t="s">
        <v>19</v>
      </c>
      <c r="B12" s="28" t="s">
        <v>126</v>
      </c>
      <c r="C12" s="28" t="s">
        <v>12</v>
      </c>
      <c r="D12" s="28" t="s">
        <v>13</v>
      </c>
      <c r="E12" s="28">
        <v>32767</v>
      </c>
      <c r="F12" s="28"/>
    </row>
    <row r="13" spans="1:6">
      <c r="A13" s="28" t="s">
        <v>20</v>
      </c>
      <c r="B13" s="28" t="s">
        <v>128</v>
      </c>
      <c r="C13" s="28" t="s">
        <v>12</v>
      </c>
      <c r="D13" s="28" t="s">
        <v>13</v>
      </c>
      <c r="E13" s="28">
        <v>-32767</v>
      </c>
      <c r="F13" s="28"/>
    </row>
    <row r="14" spans="1:6">
      <c r="A14" s="28" t="s">
        <v>24</v>
      </c>
      <c r="B14" s="28" t="s">
        <v>131</v>
      </c>
      <c r="C14" s="28" t="s">
        <v>7</v>
      </c>
      <c r="D14" s="28" t="s">
        <v>13</v>
      </c>
      <c r="E14" s="28">
        <v>0</v>
      </c>
      <c r="F14" s="28"/>
    </row>
    <row r="15" spans="1:6">
      <c r="A15" s="28" t="s">
        <v>25</v>
      </c>
      <c r="B15" s="28" t="s">
        <v>132</v>
      </c>
      <c r="C15" s="28" t="s">
        <v>7</v>
      </c>
      <c r="D15" s="28" t="s">
        <v>13</v>
      </c>
      <c r="E15" s="28">
        <v>0</v>
      </c>
      <c r="F15" s="28"/>
    </row>
    <row r="16" spans="1:6">
      <c r="A16" s="28" t="s">
        <v>26</v>
      </c>
      <c r="B16" s="28"/>
      <c r="C16" s="28"/>
      <c r="D16" s="28"/>
      <c r="E16" s="28"/>
      <c r="F16" s="28"/>
    </row>
    <row r="17" spans="1:6" ht="33">
      <c r="A17" s="28" t="s">
        <v>27</v>
      </c>
      <c r="B17" s="28" t="s">
        <v>136</v>
      </c>
      <c r="C17" s="28"/>
      <c r="D17" s="28"/>
      <c r="E17" s="28"/>
      <c r="F17" s="28"/>
    </row>
    <row r="18" spans="1:6">
      <c r="A18" s="28" t="s">
        <v>28</v>
      </c>
      <c r="B18" s="28"/>
      <c r="C18" s="28"/>
      <c r="D18" s="28"/>
      <c r="E18" s="28"/>
      <c r="F18" s="28"/>
    </row>
    <row r="19" spans="1:6">
      <c r="A19" s="28" t="s">
        <v>21</v>
      </c>
      <c r="B19" s="28"/>
      <c r="C19" s="28"/>
      <c r="D19" s="28"/>
      <c r="E19" s="28"/>
      <c r="F19" s="28"/>
    </row>
    <row r="20" spans="1:6">
      <c r="A20" s="28" t="s">
        <v>29</v>
      </c>
      <c r="B20" s="28"/>
      <c r="C20" s="28"/>
      <c r="D20" s="28"/>
      <c r="E20" s="28"/>
      <c r="F20" s="28"/>
    </row>
    <row r="22" spans="1:6" ht="16.149999999999999" customHeight="1">
      <c r="B22" s="44" t="s">
        <v>102</v>
      </c>
      <c r="C22" s="44"/>
      <c r="D22" s="44"/>
    </row>
  </sheetData>
  <mergeCells count="6">
    <mergeCell ref="B22:D22"/>
    <mergeCell ref="A1:D1"/>
    <mergeCell ref="A2:B2"/>
    <mergeCell ref="A3:B3"/>
    <mergeCell ref="C2:D2"/>
    <mergeCell ref="C3:D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tabSelected="1" zoomScaleNormal="100" workbookViewId="0">
      <selection activeCell="A7" sqref="A7:D8"/>
    </sheetView>
  </sheetViews>
  <sheetFormatPr defaultColWidth="8.85546875" defaultRowHeight="15"/>
  <cols>
    <col min="1" max="1" width="9" style="1" bestFit="1" customWidth="1"/>
    <col min="2" max="2" width="53.85546875" style="1" bestFit="1" customWidth="1"/>
    <col min="3" max="3" width="7.28515625" style="1" bestFit="1" customWidth="1"/>
    <col min="4" max="4" width="24.28515625" style="1" bestFit="1" customWidth="1"/>
    <col min="5" max="5" width="72.7109375" style="1" customWidth="1"/>
    <col min="6" max="6" width="3.28515625" style="1" customWidth="1"/>
    <col min="7" max="7" width="9" style="1" bestFit="1" customWidth="1"/>
    <col min="8" max="8" width="53.85546875" style="1" bestFit="1" customWidth="1"/>
    <col min="9" max="9" width="7.28515625" style="1" bestFit="1" customWidth="1"/>
    <col min="10" max="10" width="24.28515625" style="1" bestFit="1" customWidth="1"/>
    <col min="11" max="11" width="82.85546875" style="1" bestFit="1" customWidth="1"/>
    <col min="12" max="12" width="13.5703125" style="1" bestFit="1" customWidth="1"/>
    <col min="13" max="13" width="9" style="1" bestFit="1" customWidth="1"/>
    <col min="14" max="14" width="53.85546875" style="1" bestFit="1" customWidth="1"/>
    <col min="15" max="15" width="7.28515625" style="1" bestFit="1" customWidth="1"/>
    <col min="16" max="16" width="24.28515625" style="1" bestFit="1" customWidth="1"/>
    <col min="17" max="17" width="82.85546875" style="1" bestFit="1" customWidth="1"/>
    <col min="18" max="18" width="13.5703125" style="1" bestFit="1" customWidth="1"/>
    <col min="19" max="19" width="9" style="1" bestFit="1" customWidth="1"/>
    <col min="20" max="20" width="53.85546875" style="1" bestFit="1" customWidth="1"/>
    <col min="21" max="21" width="7.28515625" style="1" bestFit="1" customWidth="1"/>
    <col min="22" max="22" width="24.28515625" style="1" bestFit="1" customWidth="1"/>
    <col min="23" max="23" width="82.85546875" style="1" bestFit="1" customWidth="1"/>
    <col min="24" max="16384" width="8.85546875" style="1"/>
  </cols>
  <sheetData>
    <row r="1" spans="1:5">
      <c r="A1" s="51" t="s">
        <v>41</v>
      </c>
      <c r="B1" s="51"/>
      <c r="C1" s="51"/>
      <c r="D1" s="51"/>
    </row>
    <row r="2" spans="1:5">
      <c r="A2" s="52" t="s">
        <v>33</v>
      </c>
      <c r="B2" s="52"/>
      <c r="C2" s="52" t="s">
        <v>34</v>
      </c>
      <c r="D2" s="52"/>
    </row>
    <row r="3" spans="1:5">
      <c r="A3" s="53" t="s">
        <v>150</v>
      </c>
      <c r="B3" s="53"/>
      <c r="C3" s="53" t="s">
        <v>151</v>
      </c>
      <c r="D3" s="53"/>
    </row>
    <row r="6" spans="1:5">
      <c r="A6" s="15" t="s">
        <v>69</v>
      </c>
      <c r="B6" s="15" t="s">
        <v>16</v>
      </c>
      <c r="C6" s="15" t="s">
        <v>15</v>
      </c>
      <c r="D6" s="15" t="s">
        <v>107</v>
      </c>
      <c r="E6" s="15" t="s">
        <v>40</v>
      </c>
    </row>
    <row r="7" spans="1:5">
      <c r="A7" s="16" t="s">
        <v>9</v>
      </c>
      <c r="B7" s="16" t="s">
        <v>44</v>
      </c>
      <c r="C7" s="16" t="s">
        <v>8</v>
      </c>
      <c r="D7" s="16" t="s">
        <v>36</v>
      </c>
      <c r="E7" s="16"/>
    </row>
    <row r="8" spans="1:5">
      <c r="A8" s="16" t="s">
        <v>10</v>
      </c>
      <c r="B8" s="16" t="s">
        <v>42</v>
      </c>
      <c r="C8" s="16" t="s">
        <v>8</v>
      </c>
      <c r="D8" s="16" t="s">
        <v>37</v>
      </c>
      <c r="E8" s="16"/>
    </row>
    <row r="9" spans="1:5" ht="15.6" customHeight="1">
      <c r="A9" s="16" t="s">
        <v>66</v>
      </c>
      <c r="B9" s="16" t="s">
        <v>46</v>
      </c>
      <c r="C9" s="16" t="s">
        <v>30</v>
      </c>
      <c r="D9" s="16" t="s">
        <v>206</v>
      </c>
      <c r="E9" s="49" t="s">
        <v>205</v>
      </c>
    </row>
    <row r="10" spans="1:5" ht="15.6" customHeight="1">
      <c r="A10" s="16" t="s">
        <v>68</v>
      </c>
      <c r="B10" s="16" t="s">
        <v>47</v>
      </c>
      <c r="C10" s="16" t="s">
        <v>45</v>
      </c>
      <c r="D10" s="16" t="s">
        <v>207</v>
      </c>
      <c r="E10" s="50"/>
    </row>
    <row r="11" spans="1:5">
      <c r="A11" s="16" t="s">
        <v>48</v>
      </c>
      <c r="B11" s="16" t="s">
        <v>63</v>
      </c>
      <c r="C11" s="16" t="s">
        <v>64</v>
      </c>
      <c r="D11" s="16" t="s">
        <v>39</v>
      </c>
      <c r="E11" s="20"/>
    </row>
    <row r="12" spans="1:5">
      <c r="A12" s="16" t="s">
        <v>49</v>
      </c>
      <c r="B12" s="16" t="s">
        <v>203</v>
      </c>
      <c r="C12" s="16" t="s">
        <v>38</v>
      </c>
      <c r="D12" s="16" t="s">
        <v>171</v>
      </c>
      <c r="E12" s="16" t="s">
        <v>172</v>
      </c>
    </row>
    <row r="13" spans="1:5">
      <c r="A13" s="16" t="s">
        <v>168</v>
      </c>
      <c r="B13" s="16" t="s">
        <v>61</v>
      </c>
      <c r="C13" s="16" t="s">
        <v>12</v>
      </c>
      <c r="D13" s="16" t="s">
        <v>39</v>
      </c>
      <c r="E13" s="16" t="s">
        <v>43</v>
      </c>
    </row>
    <row r="14" spans="1:5">
      <c r="A14" s="16" t="s">
        <v>24</v>
      </c>
      <c r="B14" s="16" t="s">
        <v>167</v>
      </c>
      <c r="C14" s="16" t="s">
        <v>169</v>
      </c>
      <c r="D14" s="16" t="s">
        <v>176</v>
      </c>
      <c r="E14" s="16" t="s">
        <v>181</v>
      </c>
    </row>
    <row r="15" spans="1:5">
      <c r="A15" s="16" t="s">
        <v>178</v>
      </c>
      <c r="B15" s="16" t="s">
        <v>248</v>
      </c>
      <c r="C15" s="16" t="s">
        <v>170</v>
      </c>
      <c r="D15" s="16" t="s">
        <v>175</v>
      </c>
      <c r="E15" s="16" t="s">
        <v>173</v>
      </c>
    </row>
    <row r="16" spans="1:5" ht="90">
      <c r="A16" s="16" t="s">
        <v>179</v>
      </c>
      <c r="B16" s="16" t="s">
        <v>180</v>
      </c>
      <c r="C16" s="16" t="s">
        <v>174</v>
      </c>
      <c r="D16" s="16" t="s">
        <v>177</v>
      </c>
      <c r="E16" s="24" t="s">
        <v>272</v>
      </c>
    </row>
    <row r="17" spans="1:5">
      <c r="A17" s="36" t="s">
        <v>259</v>
      </c>
      <c r="B17" s="37" t="s">
        <v>265</v>
      </c>
      <c r="C17" s="36" t="s">
        <v>260</v>
      </c>
      <c r="D17" s="36" t="s">
        <v>261</v>
      </c>
      <c r="E17" s="38" t="s">
        <v>262</v>
      </c>
    </row>
    <row r="18" spans="1:5">
      <c r="A18" s="36" t="s">
        <v>263</v>
      </c>
      <c r="B18" s="38" t="s">
        <v>264</v>
      </c>
      <c r="C18" s="36" t="s">
        <v>260</v>
      </c>
      <c r="D18" s="36" t="s">
        <v>261</v>
      </c>
      <c r="E18" s="37" t="s">
        <v>266</v>
      </c>
    </row>
    <row r="19" spans="1:5">
      <c r="A19" s="39" t="s">
        <v>267</v>
      </c>
      <c r="B19" s="40" t="s">
        <v>268</v>
      </c>
      <c r="C19" s="39" t="s">
        <v>269</v>
      </c>
      <c r="D19" s="39" t="s">
        <v>270</v>
      </c>
      <c r="E19" s="41" t="s">
        <v>271</v>
      </c>
    </row>
    <row r="21" spans="1:5">
      <c r="B21" s="21" t="s">
        <v>103</v>
      </c>
    </row>
    <row r="22" spans="1:5" ht="14.45" customHeight="1"/>
    <row r="23" spans="1:5" ht="14.45" customHeight="1"/>
    <row r="24" spans="1:5" ht="14.45" customHeight="1"/>
    <row r="25" spans="1:5" ht="14.45" customHeight="1"/>
    <row r="31" spans="1:5" ht="14.45" customHeight="1"/>
    <row r="32" spans="1:5" ht="14.45" customHeight="1"/>
    <row r="33" ht="14.45" customHeight="1"/>
    <row r="34" ht="14.45" customHeight="1"/>
    <row r="40" ht="14.45" customHeight="1"/>
    <row r="41" ht="14.45" customHeight="1"/>
    <row r="42" ht="14.45" customHeight="1"/>
    <row r="43" ht="14.45" customHeight="1"/>
  </sheetData>
  <mergeCells count="6">
    <mergeCell ref="E9:E10"/>
    <mergeCell ref="A1:D1"/>
    <mergeCell ref="A2:B2"/>
    <mergeCell ref="C2:D2"/>
    <mergeCell ref="A3:B3"/>
    <mergeCell ref="C3:D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opLeftCell="A13" zoomScaleNormal="100" workbookViewId="0">
      <selection activeCell="A33" sqref="A33:XFD33"/>
    </sheetView>
  </sheetViews>
  <sheetFormatPr defaultColWidth="8.85546875" defaultRowHeight="15"/>
  <cols>
    <col min="1" max="1" width="9" style="22" bestFit="1" customWidth="1"/>
    <col min="2" max="2" width="53.85546875" style="22" bestFit="1" customWidth="1"/>
    <col min="3" max="3" width="7.28515625" style="22" bestFit="1" customWidth="1"/>
    <col min="4" max="4" width="24.28515625" style="22" bestFit="1" customWidth="1"/>
    <col min="5" max="5" width="80.7109375" style="22" customWidth="1"/>
    <col min="6" max="6" width="3.28515625" style="22" customWidth="1"/>
    <col min="7" max="7" width="9" style="22" bestFit="1" customWidth="1"/>
    <col min="8" max="8" width="53.85546875" style="22" bestFit="1" customWidth="1"/>
    <col min="9" max="9" width="7.28515625" style="22" bestFit="1" customWidth="1"/>
    <col min="10" max="10" width="24.28515625" style="22" bestFit="1" customWidth="1"/>
    <col min="11" max="11" width="82.85546875" style="22" bestFit="1" customWidth="1"/>
    <col min="12" max="12" width="13.5703125" style="22" bestFit="1" customWidth="1"/>
    <col min="13" max="13" width="9" style="22" bestFit="1" customWidth="1"/>
    <col min="14" max="14" width="53.85546875" style="22" bestFit="1" customWidth="1"/>
    <col min="15" max="15" width="7.28515625" style="22" bestFit="1" customWidth="1"/>
    <col min="16" max="16" width="24.28515625" style="22" bestFit="1" customWidth="1"/>
    <col min="17" max="17" width="82.85546875" style="22" bestFit="1" customWidth="1"/>
    <col min="18" max="18" width="13.5703125" style="22" bestFit="1" customWidth="1"/>
    <col min="19" max="19" width="9" style="22" bestFit="1" customWidth="1"/>
    <col min="20" max="20" width="53.85546875" style="22" bestFit="1" customWidth="1"/>
    <col min="21" max="21" width="7.28515625" style="22" bestFit="1" customWidth="1"/>
    <col min="22" max="22" width="24.28515625" style="22" bestFit="1" customWidth="1"/>
    <col min="23" max="23" width="82.85546875" style="22" bestFit="1" customWidth="1"/>
    <col min="24" max="16384" width="8.85546875" style="22"/>
  </cols>
  <sheetData>
    <row r="1" spans="1:5">
      <c r="A1" s="54" t="s">
        <v>110</v>
      </c>
      <c r="B1" s="54"/>
      <c r="C1" s="54"/>
      <c r="D1" s="54"/>
    </row>
    <row r="2" spans="1:5">
      <c r="A2" s="52" t="s">
        <v>0</v>
      </c>
      <c r="B2" s="52"/>
      <c r="C2" s="52" t="s">
        <v>1</v>
      </c>
      <c r="D2" s="52"/>
    </row>
    <row r="3" spans="1:5">
      <c r="A3" s="55" t="s">
        <v>152</v>
      </c>
      <c r="B3" s="55"/>
      <c r="C3" s="55" t="s">
        <v>153</v>
      </c>
      <c r="D3" s="55"/>
    </row>
    <row r="6" spans="1:5">
      <c r="A6" s="23" t="s">
        <v>14</v>
      </c>
      <c r="B6" s="23" t="s">
        <v>16</v>
      </c>
      <c r="C6" s="23" t="s">
        <v>15</v>
      </c>
      <c r="D6" s="23" t="s">
        <v>106</v>
      </c>
      <c r="E6" s="23" t="s">
        <v>40</v>
      </c>
    </row>
    <row r="7" spans="1:5">
      <c r="A7" s="24" t="s">
        <v>9</v>
      </c>
      <c r="B7" s="24" t="s">
        <v>71</v>
      </c>
      <c r="C7" s="24" t="s">
        <v>7</v>
      </c>
      <c r="D7" s="24" t="s">
        <v>70</v>
      </c>
      <c r="E7" s="24"/>
    </row>
    <row r="8" spans="1:5">
      <c r="A8" s="24" t="s">
        <v>75</v>
      </c>
      <c r="B8" s="24" t="s">
        <v>111</v>
      </c>
      <c r="C8" s="24" t="s">
        <v>7</v>
      </c>
      <c r="D8" s="24" t="s">
        <v>70</v>
      </c>
      <c r="E8" s="24"/>
    </row>
    <row r="9" spans="1:5">
      <c r="A9" s="24" t="s">
        <v>65</v>
      </c>
      <c r="B9" s="24" t="s">
        <v>112</v>
      </c>
      <c r="C9" s="24" t="s">
        <v>7</v>
      </c>
      <c r="D9" s="24" t="s">
        <v>73</v>
      </c>
      <c r="E9" s="24"/>
    </row>
    <row r="10" spans="1:5">
      <c r="A10" s="24" t="s">
        <v>67</v>
      </c>
      <c r="B10" s="24" t="s">
        <v>72</v>
      </c>
      <c r="C10" s="24" t="s">
        <v>7</v>
      </c>
      <c r="D10" s="24" t="s">
        <v>31</v>
      </c>
      <c r="E10" s="24"/>
    </row>
    <row r="11" spans="1:5">
      <c r="A11" s="24" t="s">
        <v>76</v>
      </c>
      <c r="B11" s="24" t="s">
        <v>113</v>
      </c>
      <c r="C11" s="24" t="s">
        <v>12</v>
      </c>
      <c r="D11" s="24" t="s">
        <v>22</v>
      </c>
      <c r="E11" s="24"/>
    </row>
    <row r="12" spans="1:5">
      <c r="A12" s="24" t="s">
        <v>49</v>
      </c>
      <c r="B12" s="24" t="s">
        <v>114</v>
      </c>
      <c r="C12" s="24" t="s">
        <v>12</v>
      </c>
      <c r="D12" s="24" t="s">
        <v>88</v>
      </c>
      <c r="E12" s="24"/>
    </row>
    <row r="13" spans="1:5">
      <c r="A13" s="24" t="s">
        <v>50</v>
      </c>
      <c r="B13" s="24" t="s">
        <v>115</v>
      </c>
      <c r="C13" s="24" t="s">
        <v>12</v>
      </c>
      <c r="D13" s="24" t="s">
        <v>87</v>
      </c>
      <c r="E13" s="24"/>
    </row>
    <row r="14" spans="1:5">
      <c r="A14" s="24" t="s">
        <v>58</v>
      </c>
      <c r="B14" s="24" t="s">
        <v>77</v>
      </c>
      <c r="C14" s="24" t="s">
        <v>12</v>
      </c>
      <c r="D14" s="24" t="s">
        <v>89</v>
      </c>
      <c r="E14" s="24"/>
    </row>
    <row r="15" spans="1:5">
      <c r="A15" s="24" t="s">
        <v>59</v>
      </c>
      <c r="B15" s="24" t="s">
        <v>116</v>
      </c>
      <c r="C15" s="24" t="s">
        <v>12</v>
      </c>
      <c r="D15" s="24" t="s">
        <v>78</v>
      </c>
      <c r="E15" s="24"/>
    </row>
    <row r="16" spans="1:5">
      <c r="A16" s="24" t="s">
        <v>60</v>
      </c>
      <c r="B16" s="24" t="s">
        <v>85</v>
      </c>
      <c r="C16" s="24" t="s">
        <v>12</v>
      </c>
      <c r="D16" s="24" t="s">
        <v>87</v>
      </c>
      <c r="E16" s="24"/>
    </row>
    <row r="17" spans="1:5">
      <c r="A17" s="24" t="s">
        <v>82</v>
      </c>
      <c r="B17" s="24" t="s">
        <v>79</v>
      </c>
      <c r="C17" s="24" t="s">
        <v>12</v>
      </c>
      <c r="D17" s="24" t="s">
        <v>89</v>
      </c>
      <c r="E17" s="24"/>
    </row>
    <row r="18" spans="1:5">
      <c r="A18" s="24" t="s">
        <v>62</v>
      </c>
      <c r="B18" s="24" t="s">
        <v>86</v>
      </c>
      <c r="C18" s="24" t="s">
        <v>12</v>
      </c>
      <c r="D18" s="24" t="s">
        <v>87</v>
      </c>
      <c r="E18" s="24"/>
    </row>
    <row r="19" spans="1:5">
      <c r="A19" s="24" t="s">
        <v>83</v>
      </c>
      <c r="B19" s="24" t="s">
        <v>80</v>
      </c>
      <c r="C19" s="24" t="s">
        <v>12</v>
      </c>
      <c r="D19" s="24" t="s">
        <v>23</v>
      </c>
      <c r="E19" s="24"/>
    </row>
    <row r="20" spans="1:5">
      <c r="A20" s="24" t="s">
        <v>84</v>
      </c>
      <c r="B20" s="24" t="s">
        <v>117</v>
      </c>
      <c r="C20" s="24" t="s">
        <v>12</v>
      </c>
      <c r="D20" s="24" t="s">
        <v>81</v>
      </c>
      <c r="E20" s="24"/>
    </row>
    <row r="21" spans="1:5" ht="14.45" customHeight="1">
      <c r="A21" s="24" t="s">
        <v>21</v>
      </c>
      <c r="B21" s="24" t="s">
        <v>118</v>
      </c>
      <c r="C21" s="24" t="s">
        <v>99</v>
      </c>
      <c r="D21" s="24" t="s">
        <v>81</v>
      </c>
      <c r="E21" s="24"/>
    </row>
    <row r="22" spans="1:5">
      <c r="A22" s="24" t="s">
        <v>29</v>
      </c>
      <c r="B22" s="24" t="s">
        <v>119</v>
      </c>
      <c r="C22" s="24" t="s">
        <v>91</v>
      </c>
      <c r="D22" s="24" t="s">
        <v>74</v>
      </c>
      <c r="E22" s="24"/>
    </row>
    <row r="23" spans="1:5">
      <c r="A23" s="24" t="s">
        <v>90</v>
      </c>
      <c r="B23" s="24" t="s">
        <v>92</v>
      </c>
      <c r="C23" s="24" t="s">
        <v>7</v>
      </c>
      <c r="D23" s="24" t="s">
        <v>95</v>
      </c>
      <c r="E23" s="24"/>
    </row>
    <row r="24" spans="1:5">
      <c r="A24" s="24" t="s">
        <v>51</v>
      </c>
      <c r="B24" s="24" t="s">
        <v>93</v>
      </c>
      <c r="C24" s="24" t="s">
        <v>94</v>
      </c>
      <c r="D24" s="24" t="s">
        <v>96</v>
      </c>
      <c r="E24" s="24"/>
    </row>
    <row r="25" spans="1:5">
      <c r="A25" s="24" t="s">
        <v>52</v>
      </c>
      <c r="B25" s="24" t="s">
        <v>120</v>
      </c>
      <c r="C25" s="24" t="s">
        <v>91</v>
      </c>
      <c r="D25" s="24" t="s">
        <v>73</v>
      </c>
      <c r="E25" s="24"/>
    </row>
    <row r="26" spans="1:5">
      <c r="A26" s="24" t="s">
        <v>53</v>
      </c>
      <c r="B26" s="24" t="s">
        <v>121</v>
      </c>
      <c r="C26" s="24" t="s">
        <v>7</v>
      </c>
      <c r="D26" s="24" t="s">
        <v>95</v>
      </c>
      <c r="E26" s="24"/>
    </row>
    <row r="27" spans="1:5" ht="14.45" customHeight="1">
      <c r="A27" s="24" t="s">
        <v>54</v>
      </c>
      <c r="B27" s="24" t="s">
        <v>122</v>
      </c>
      <c r="C27" s="24" t="s">
        <v>94</v>
      </c>
      <c r="D27" s="24" t="s">
        <v>96</v>
      </c>
      <c r="E27" s="24"/>
    </row>
    <row r="28" spans="1:5" ht="14.45" customHeight="1">
      <c r="A28" s="24" t="s">
        <v>55</v>
      </c>
      <c r="B28" s="24" t="s">
        <v>123</v>
      </c>
      <c r="C28" s="24" t="s">
        <v>94</v>
      </c>
      <c r="D28" s="24" t="s">
        <v>73</v>
      </c>
      <c r="E28" s="24"/>
    </row>
    <row r="29" spans="1:5" ht="14.45" customHeight="1">
      <c r="A29" s="24" t="s">
        <v>56</v>
      </c>
      <c r="B29" s="24" t="s">
        <v>124</v>
      </c>
      <c r="C29" s="24" t="s">
        <v>94</v>
      </c>
      <c r="D29" s="24" t="s">
        <v>97</v>
      </c>
      <c r="E29" s="24"/>
    </row>
    <row r="30" spans="1:5" ht="14.45" customHeight="1">
      <c r="A30" s="24" t="s">
        <v>98</v>
      </c>
      <c r="B30" s="24" t="s">
        <v>156</v>
      </c>
      <c r="C30" s="24" t="s">
        <v>94</v>
      </c>
      <c r="D30" s="24" t="s">
        <v>73</v>
      </c>
      <c r="E30" s="24" t="s">
        <v>192</v>
      </c>
    </row>
    <row r="31" spans="1:5">
      <c r="A31" s="24" t="s">
        <v>100</v>
      </c>
      <c r="B31" s="24" t="s">
        <v>157</v>
      </c>
      <c r="C31" s="24" t="s">
        <v>94</v>
      </c>
      <c r="D31" s="24" t="s">
        <v>73</v>
      </c>
      <c r="E31" s="24" t="s">
        <v>191</v>
      </c>
    </row>
    <row r="32" spans="1:5" ht="30">
      <c r="A32" s="24" t="s">
        <v>185</v>
      </c>
      <c r="B32" s="24" t="s">
        <v>101</v>
      </c>
      <c r="C32" s="24" t="s">
        <v>188</v>
      </c>
      <c r="D32" s="24" t="s">
        <v>105</v>
      </c>
      <c r="E32" s="24" t="s">
        <v>184</v>
      </c>
    </row>
    <row r="33" spans="1:5">
      <c r="A33" s="24" t="s">
        <v>208</v>
      </c>
      <c r="B33" s="24" t="s">
        <v>193</v>
      </c>
      <c r="C33" s="24" t="s">
        <v>91</v>
      </c>
      <c r="D33" s="24" t="s">
        <v>194</v>
      </c>
      <c r="E33" s="24" t="s">
        <v>204</v>
      </c>
    </row>
    <row r="34" spans="1:5">
      <c r="A34" s="24" t="s">
        <v>209</v>
      </c>
      <c r="B34" s="24" t="s">
        <v>186</v>
      </c>
      <c r="C34" s="24" t="s">
        <v>189</v>
      </c>
      <c r="D34" s="24" t="s">
        <v>190</v>
      </c>
      <c r="E34" s="24" t="s">
        <v>191</v>
      </c>
    </row>
    <row r="35" spans="1:5">
      <c r="A35" s="24" t="s">
        <v>210</v>
      </c>
      <c r="B35" s="24" t="s">
        <v>187</v>
      </c>
      <c r="C35" s="24" t="s">
        <v>91</v>
      </c>
      <c r="D35" s="24" t="s">
        <v>73</v>
      </c>
      <c r="E35" s="24" t="s">
        <v>191</v>
      </c>
    </row>
    <row r="37" spans="1:5">
      <c r="B37" s="25" t="s">
        <v>104</v>
      </c>
    </row>
    <row r="40" spans="1:5" ht="14.45" customHeight="1"/>
    <row r="41" spans="1:5" ht="14.45" customHeight="1"/>
    <row r="42" spans="1:5" ht="14.45" customHeight="1"/>
    <row r="43" spans="1:5" ht="14.45" customHeight="1"/>
  </sheetData>
  <mergeCells count="5">
    <mergeCell ref="A1:D1"/>
    <mergeCell ref="A2:B2"/>
    <mergeCell ref="C2:D2"/>
    <mergeCell ref="A3:B3"/>
    <mergeCell ref="C3: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zoomScale="85" zoomScaleNormal="85" workbookViewId="0">
      <selection activeCell="F7" sqref="F7"/>
    </sheetView>
  </sheetViews>
  <sheetFormatPr defaultColWidth="8.85546875" defaultRowHeight="16.5"/>
  <cols>
    <col min="1" max="1" width="14.28515625" style="26" bestFit="1" customWidth="1"/>
    <col min="2" max="2" width="31.7109375" style="26" bestFit="1" customWidth="1"/>
    <col min="3" max="3" width="7.7109375" style="26" bestFit="1" customWidth="1"/>
    <col min="4" max="4" width="24.28515625" style="26" bestFit="1" customWidth="1"/>
    <col min="5" max="5" width="13.28515625" style="26" customWidth="1"/>
    <col min="6" max="6" width="56.28515625" style="26" customWidth="1"/>
    <col min="7" max="7" width="3.28515625" style="26" customWidth="1"/>
    <col min="8" max="8" width="13.5703125" style="26" bestFit="1" customWidth="1"/>
    <col min="9" max="9" width="30.5703125" style="26" bestFit="1" customWidth="1"/>
    <col min="10" max="10" width="7.28515625" style="26" bestFit="1" customWidth="1"/>
    <col min="11" max="11" width="22.28515625" style="26" bestFit="1" customWidth="1"/>
    <col min="12" max="12" width="10.7109375" style="26" customWidth="1"/>
    <col min="13" max="13" width="3.42578125" style="26" customWidth="1"/>
    <col min="14" max="14" width="13.5703125" style="26" bestFit="1" customWidth="1"/>
    <col min="15" max="15" width="30.5703125" style="26" bestFit="1" customWidth="1"/>
    <col min="16" max="16" width="7.28515625" style="26" bestFit="1" customWidth="1"/>
    <col min="17" max="17" width="22.28515625" style="26" bestFit="1" customWidth="1"/>
    <col min="18" max="18" width="10.28515625" style="26" customWidth="1"/>
    <col min="19" max="19" width="4.140625" style="26" customWidth="1"/>
    <col min="20" max="20" width="13.5703125" style="26" bestFit="1" customWidth="1"/>
    <col min="21" max="21" width="30.5703125" style="26" bestFit="1" customWidth="1"/>
    <col min="22" max="22" width="7.28515625" style="26" bestFit="1" customWidth="1"/>
    <col min="23" max="23" width="22.28515625" style="26" bestFit="1" customWidth="1"/>
    <col min="24" max="16384" width="8.85546875" style="26"/>
  </cols>
  <sheetData>
    <row r="1" spans="1:6">
      <c r="A1" s="45" t="s">
        <v>137</v>
      </c>
      <c r="B1" s="45"/>
      <c r="C1" s="45"/>
      <c r="D1" s="45"/>
    </row>
    <row r="2" spans="1:6">
      <c r="A2" s="46" t="s">
        <v>0</v>
      </c>
      <c r="B2" s="46"/>
      <c r="C2" s="46" t="s">
        <v>1</v>
      </c>
      <c r="D2" s="46"/>
    </row>
    <row r="3" spans="1:6">
      <c r="A3" s="56" t="s">
        <v>154</v>
      </c>
      <c r="B3" s="56"/>
      <c r="C3" s="56" t="s">
        <v>158</v>
      </c>
      <c r="D3" s="56"/>
    </row>
    <row r="6" spans="1:6" ht="33">
      <c r="A6" s="27" t="s">
        <v>14</v>
      </c>
      <c r="B6" s="27" t="s">
        <v>16</v>
      </c>
      <c r="C6" s="27" t="s">
        <v>15</v>
      </c>
      <c r="D6" s="27" t="s">
        <v>106</v>
      </c>
      <c r="E6" s="27" t="s">
        <v>109</v>
      </c>
      <c r="F6" s="27" t="s">
        <v>40</v>
      </c>
    </row>
    <row r="7" spans="1:6" ht="115.5">
      <c r="A7" s="28" t="s">
        <v>9</v>
      </c>
      <c r="B7" s="28" t="s">
        <v>182</v>
      </c>
      <c r="C7" s="28" t="s">
        <v>170</v>
      </c>
      <c r="D7" s="28" t="s">
        <v>183</v>
      </c>
      <c r="E7" s="28"/>
      <c r="F7" s="28" t="s">
        <v>195</v>
      </c>
    </row>
    <row r="8" spans="1:6">
      <c r="A8" s="28" t="s">
        <v>10</v>
      </c>
      <c r="B8" s="28"/>
      <c r="C8" s="28"/>
      <c r="D8" s="28"/>
      <c r="E8" s="28"/>
      <c r="F8" s="28"/>
    </row>
    <row r="9" spans="1:6">
      <c r="A9" s="28" t="s">
        <v>11</v>
      </c>
      <c r="B9" s="28"/>
      <c r="C9" s="28"/>
      <c r="D9" s="29"/>
      <c r="E9" s="28"/>
      <c r="F9" s="28"/>
    </row>
    <row r="10" spans="1:6">
      <c r="A10" s="28" t="s">
        <v>17</v>
      </c>
      <c r="B10" s="28"/>
      <c r="C10" s="28"/>
      <c r="D10" s="28"/>
      <c r="E10" s="28"/>
      <c r="F10" s="28"/>
    </row>
    <row r="11" spans="1:6">
      <c r="A11" s="28" t="s">
        <v>18</v>
      </c>
      <c r="B11" s="28"/>
      <c r="C11" s="28"/>
      <c r="D11" s="28"/>
      <c r="E11" s="28"/>
      <c r="F11" s="28"/>
    </row>
    <row r="12" spans="1:6">
      <c r="A12" s="28" t="s">
        <v>19</v>
      </c>
      <c r="B12" s="28"/>
      <c r="C12" s="28"/>
      <c r="D12" s="28"/>
      <c r="E12" s="28"/>
      <c r="F12" s="28"/>
    </row>
    <row r="13" spans="1:6">
      <c r="A13" s="28" t="s">
        <v>20</v>
      </c>
      <c r="B13" s="28"/>
      <c r="C13" s="28"/>
      <c r="D13" s="28"/>
      <c r="E13" s="28"/>
      <c r="F13" s="28"/>
    </row>
    <row r="14" spans="1:6">
      <c r="A14" s="28" t="s">
        <v>24</v>
      </c>
      <c r="B14" s="28"/>
      <c r="C14" s="28"/>
      <c r="D14" s="28"/>
      <c r="E14" s="28"/>
      <c r="F14" s="28"/>
    </row>
    <row r="15" spans="1:6">
      <c r="A15" s="28" t="s">
        <v>25</v>
      </c>
      <c r="B15" s="28"/>
      <c r="C15" s="28"/>
      <c r="D15" s="28"/>
      <c r="E15" s="28"/>
      <c r="F15" s="28"/>
    </row>
    <row r="16" spans="1:6">
      <c r="A16" s="28" t="s">
        <v>26</v>
      </c>
      <c r="B16" s="28"/>
      <c r="C16" s="28"/>
      <c r="D16" s="28"/>
      <c r="E16" s="28"/>
      <c r="F16" s="28"/>
    </row>
    <row r="17" spans="1:6" ht="33">
      <c r="A17" s="28" t="s">
        <v>27</v>
      </c>
      <c r="B17" s="28" t="s">
        <v>136</v>
      </c>
      <c r="C17" s="28"/>
      <c r="D17" s="28"/>
      <c r="E17" s="28"/>
      <c r="F17" s="28"/>
    </row>
    <row r="18" spans="1:6">
      <c r="A18" s="28" t="s">
        <v>28</v>
      </c>
      <c r="B18" s="28"/>
      <c r="C18" s="28"/>
      <c r="D18" s="28"/>
      <c r="E18" s="28"/>
      <c r="F18" s="28"/>
    </row>
    <row r="19" spans="1:6">
      <c r="A19" s="28" t="s">
        <v>21</v>
      </c>
      <c r="B19" s="28"/>
      <c r="C19" s="28"/>
      <c r="D19" s="28"/>
      <c r="E19" s="28"/>
      <c r="F19" s="28"/>
    </row>
    <row r="20" spans="1:6">
      <c r="A20" s="28" t="s">
        <v>29</v>
      </c>
      <c r="B20" s="28"/>
      <c r="C20" s="28"/>
      <c r="D20" s="28"/>
      <c r="E20" s="28"/>
      <c r="F20" s="28"/>
    </row>
    <row r="22" spans="1:6">
      <c r="B22" s="44" t="s">
        <v>138</v>
      </c>
      <c r="C22" s="44"/>
      <c r="D22" s="44"/>
    </row>
  </sheetData>
  <mergeCells count="6">
    <mergeCell ref="B22:D22"/>
    <mergeCell ref="A1:D1"/>
    <mergeCell ref="A2:B2"/>
    <mergeCell ref="C2:D2"/>
    <mergeCell ref="A3:B3"/>
    <mergeCell ref="C3:D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workbookViewId="0">
      <selection activeCell="B24" sqref="B24"/>
    </sheetView>
  </sheetViews>
  <sheetFormatPr defaultColWidth="8.85546875" defaultRowHeight="16.5"/>
  <cols>
    <col min="1" max="1" width="14.28515625" style="26" bestFit="1" customWidth="1"/>
    <col min="2" max="2" width="42.5703125" style="26" customWidth="1"/>
    <col min="3" max="3" width="7.7109375" style="26" bestFit="1" customWidth="1"/>
    <col min="4" max="4" width="26.7109375" style="26" customWidth="1"/>
    <col min="5" max="5" width="13.28515625" style="26" customWidth="1"/>
    <col min="6" max="6" width="56.28515625" style="26" customWidth="1"/>
    <col min="7" max="7" width="3.28515625" style="26" customWidth="1"/>
    <col min="8" max="8" width="13.5703125" style="26" bestFit="1" customWidth="1"/>
    <col min="9" max="9" width="30.5703125" style="26" bestFit="1" customWidth="1"/>
    <col min="10" max="10" width="7.28515625" style="26" bestFit="1" customWidth="1"/>
    <col min="11" max="11" width="22.28515625" style="26" bestFit="1" customWidth="1"/>
    <col min="12" max="12" width="10.7109375" style="26" customWidth="1"/>
    <col min="13" max="13" width="3.42578125" style="26" customWidth="1"/>
    <col min="14" max="14" width="13.5703125" style="26" bestFit="1" customWidth="1"/>
    <col min="15" max="15" width="30.5703125" style="26" bestFit="1" customWidth="1"/>
    <col min="16" max="16" width="7.28515625" style="26" bestFit="1" customWidth="1"/>
    <col min="17" max="17" width="22.28515625" style="26" bestFit="1" customWidth="1"/>
    <col min="18" max="18" width="10.28515625" style="26" customWidth="1"/>
    <col min="19" max="19" width="4.140625" style="26" customWidth="1"/>
    <col min="20" max="20" width="13.5703125" style="26" bestFit="1" customWidth="1"/>
    <col min="21" max="21" width="30.5703125" style="26" bestFit="1" customWidth="1"/>
    <col min="22" max="22" width="7.28515625" style="26" bestFit="1" customWidth="1"/>
    <col min="23" max="23" width="22.28515625" style="26" bestFit="1" customWidth="1"/>
    <col min="24" max="16384" width="8.85546875" style="26"/>
  </cols>
  <sheetData>
    <row r="1" spans="1:6">
      <c r="A1" s="45" t="s">
        <v>165</v>
      </c>
      <c r="B1" s="45"/>
      <c r="C1" s="45"/>
      <c r="D1" s="45"/>
    </row>
    <row r="2" spans="1:6">
      <c r="A2" s="46" t="s">
        <v>0</v>
      </c>
      <c r="B2" s="46"/>
      <c r="C2" s="46" t="s">
        <v>1</v>
      </c>
      <c r="D2" s="46"/>
    </row>
    <row r="3" spans="1:6">
      <c r="A3" s="56" t="s">
        <v>159</v>
      </c>
      <c r="B3" s="56"/>
      <c r="C3" s="56" t="s">
        <v>155</v>
      </c>
      <c r="D3" s="56"/>
    </row>
    <row r="6" spans="1:6" ht="33">
      <c r="A6" s="27" t="s">
        <v>14</v>
      </c>
      <c r="B6" s="27" t="s">
        <v>16</v>
      </c>
      <c r="C6" s="27" t="s">
        <v>15</v>
      </c>
      <c r="D6" s="27" t="s">
        <v>106</v>
      </c>
      <c r="E6" s="27" t="s">
        <v>109</v>
      </c>
      <c r="F6" s="27" t="s">
        <v>40</v>
      </c>
    </row>
    <row r="7" spans="1:6">
      <c r="A7" s="28" t="s">
        <v>9</v>
      </c>
      <c r="B7" s="28" t="s">
        <v>198</v>
      </c>
      <c r="C7" s="28" t="s">
        <v>7</v>
      </c>
      <c r="D7" s="28" t="s">
        <v>197</v>
      </c>
      <c r="E7" s="28">
        <v>0</v>
      </c>
      <c r="F7" s="28"/>
    </row>
    <row r="8" spans="1:6">
      <c r="A8" s="28" t="s">
        <v>10</v>
      </c>
      <c r="B8" s="28" t="s">
        <v>211</v>
      </c>
      <c r="C8" s="28" t="s">
        <v>212</v>
      </c>
      <c r="D8" s="28" t="s">
        <v>213</v>
      </c>
      <c r="E8" s="28">
        <v>0</v>
      </c>
      <c r="F8" s="28" t="s">
        <v>217</v>
      </c>
    </row>
    <row r="9" spans="1:6">
      <c r="A9" s="28" t="s">
        <v>11</v>
      </c>
      <c r="B9" s="28" t="s">
        <v>214</v>
      </c>
      <c r="C9" s="28" t="s">
        <v>215</v>
      </c>
      <c r="D9" s="29" t="s">
        <v>216</v>
      </c>
      <c r="E9" s="28">
        <v>0</v>
      </c>
      <c r="F9" s="28" t="s">
        <v>218</v>
      </c>
    </row>
    <row r="10" spans="1:6">
      <c r="A10" s="28" t="s">
        <v>17</v>
      </c>
      <c r="B10" s="28" t="s">
        <v>254</v>
      </c>
      <c r="C10" s="28"/>
      <c r="D10" s="28"/>
      <c r="E10" s="28"/>
      <c r="F10" s="28"/>
    </row>
    <row r="11" spans="1:6" ht="33">
      <c r="A11" s="28" t="s">
        <v>18</v>
      </c>
      <c r="B11" s="28" t="s">
        <v>249</v>
      </c>
      <c r="C11" s="35" t="s">
        <v>7</v>
      </c>
      <c r="D11" s="35" t="s">
        <v>36</v>
      </c>
      <c r="E11" s="28"/>
      <c r="F11" s="28" t="s">
        <v>253</v>
      </c>
    </row>
    <row r="12" spans="1:6" ht="33">
      <c r="A12" s="28" t="s">
        <v>19</v>
      </c>
      <c r="B12" s="28" t="s">
        <v>250</v>
      </c>
      <c r="C12" s="35" t="s">
        <v>7</v>
      </c>
      <c r="D12" s="35" t="s">
        <v>37</v>
      </c>
      <c r="E12" s="28"/>
      <c r="F12" s="28" t="s">
        <v>253</v>
      </c>
    </row>
    <row r="13" spans="1:6" ht="33">
      <c r="A13" s="28" t="s">
        <v>20</v>
      </c>
      <c r="B13" s="28" t="s">
        <v>251</v>
      </c>
      <c r="C13" s="35" t="s">
        <v>7</v>
      </c>
      <c r="D13" s="35" t="s">
        <v>36</v>
      </c>
      <c r="E13" s="28"/>
      <c r="F13" s="28" t="s">
        <v>253</v>
      </c>
    </row>
    <row r="14" spans="1:6" ht="33">
      <c r="A14" s="28" t="s">
        <v>24</v>
      </c>
      <c r="B14" s="28" t="s">
        <v>252</v>
      </c>
      <c r="C14" s="35" t="s">
        <v>7</v>
      </c>
      <c r="D14" s="35" t="s">
        <v>37</v>
      </c>
      <c r="E14" s="28"/>
      <c r="F14" s="28" t="s">
        <v>253</v>
      </c>
    </row>
    <row r="15" spans="1:6">
      <c r="A15" s="28" t="s">
        <v>25</v>
      </c>
      <c r="B15" s="28"/>
      <c r="C15" s="28"/>
      <c r="D15" s="28"/>
      <c r="E15" s="28"/>
      <c r="F15" s="28"/>
    </row>
    <row r="16" spans="1:6">
      <c r="A16" s="28" t="s">
        <v>26</v>
      </c>
      <c r="B16" s="28"/>
      <c r="C16" s="28"/>
      <c r="D16" s="28"/>
      <c r="E16" s="28"/>
      <c r="F16" s="28"/>
    </row>
    <row r="17" spans="1:6" ht="33">
      <c r="A17" s="28" t="s">
        <v>27</v>
      </c>
      <c r="B17" s="28" t="s">
        <v>136</v>
      </c>
      <c r="C17" s="28"/>
      <c r="D17" s="28"/>
      <c r="E17" s="28"/>
      <c r="F17" s="28"/>
    </row>
    <row r="18" spans="1:6">
      <c r="A18" s="28" t="s">
        <v>28</v>
      </c>
      <c r="B18" s="28"/>
      <c r="C18" s="28"/>
      <c r="D18" s="28"/>
      <c r="E18" s="28"/>
      <c r="F18" s="28"/>
    </row>
    <row r="19" spans="1:6">
      <c r="A19" s="28" t="s">
        <v>21</v>
      </c>
      <c r="B19" s="28"/>
      <c r="C19" s="28"/>
      <c r="D19" s="28"/>
      <c r="E19" s="28"/>
      <c r="F19" s="28"/>
    </row>
    <row r="20" spans="1:6">
      <c r="A20" s="28" t="s">
        <v>29</v>
      </c>
      <c r="B20" s="28"/>
      <c r="C20" s="28"/>
      <c r="D20" s="28"/>
      <c r="E20" s="28"/>
      <c r="F20" s="28"/>
    </row>
    <row r="22" spans="1:6">
      <c r="B22" s="33"/>
      <c r="C22" s="33"/>
      <c r="D22" s="33"/>
    </row>
    <row r="24" spans="1:6">
      <c r="A24" s="34"/>
      <c r="B24" s="34"/>
      <c r="C24" s="34"/>
      <c r="D24" s="34"/>
    </row>
    <row r="25" spans="1:6">
      <c r="A25" s="34"/>
      <c r="B25" s="34"/>
      <c r="C25" s="34"/>
      <c r="D25" s="34"/>
    </row>
    <row r="26" spans="1:6">
      <c r="A26" s="34"/>
      <c r="B26" s="34"/>
      <c r="C26" s="34"/>
      <c r="D26" s="34"/>
    </row>
    <row r="27" spans="1:6">
      <c r="A27" s="34"/>
      <c r="B27" s="34"/>
      <c r="C27" s="34"/>
      <c r="D27" s="34"/>
    </row>
  </sheetData>
  <mergeCells count="5">
    <mergeCell ref="A1:D1"/>
    <mergeCell ref="A2:B2"/>
    <mergeCell ref="C2:D2"/>
    <mergeCell ref="A3:B3"/>
    <mergeCell ref="C3:D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selection activeCell="F11" sqref="F11"/>
    </sheetView>
  </sheetViews>
  <sheetFormatPr defaultColWidth="8.85546875" defaultRowHeight="16.5"/>
  <cols>
    <col min="1" max="1" width="14.28515625" style="26" bestFit="1" customWidth="1"/>
    <col min="2" max="2" width="31.7109375" style="26" bestFit="1" customWidth="1"/>
    <col min="3" max="3" width="7.7109375" style="26" bestFit="1" customWidth="1"/>
    <col min="4" max="4" width="24.28515625" style="26" bestFit="1" customWidth="1"/>
    <col min="5" max="5" width="13.28515625" style="26" customWidth="1"/>
    <col min="6" max="6" width="64.28515625" style="26" customWidth="1"/>
    <col min="7" max="7" width="21.28515625" style="26" customWidth="1"/>
    <col min="8" max="8" width="13.5703125" style="26" bestFit="1" customWidth="1"/>
    <col min="9" max="9" width="30.5703125" style="26" bestFit="1" customWidth="1"/>
    <col min="10" max="10" width="7.28515625" style="26" bestFit="1" customWidth="1"/>
    <col min="11" max="11" width="22.28515625" style="26" bestFit="1" customWidth="1"/>
    <col min="12" max="12" width="10.7109375" style="26" customWidth="1"/>
    <col min="13" max="13" width="3.42578125" style="26" customWidth="1"/>
    <col min="14" max="14" width="13.5703125" style="26" bestFit="1" customWidth="1"/>
    <col min="15" max="15" width="30.5703125" style="26" bestFit="1" customWidth="1"/>
    <col min="16" max="16" width="7.28515625" style="26" bestFit="1" customWidth="1"/>
    <col min="17" max="17" width="22.28515625" style="26" bestFit="1" customWidth="1"/>
    <col min="18" max="18" width="10.28515625" style="26" customWidth="1"/>
    <col min="19" max="19" width="4.140625" style="26" customWidth="1"/>
    <col min="20" max="20" width="13.5703125" style="26" bestFit="1" customWidth="1"/>
    <col min="21" max="21" width="30.5703125" style="26" bestFit="1" customWidth="1"/>
    <col min="22" max="22" width="7.28515625" style="26" bestFit="1" customWidth="1"/>
    <col min="23" max="23" width="22.28515625" style="26" bestFit="1" customWidth="1"/>
    <col min="24" max="16384" width="8.85546875" style="26"/>
  </cols>
  <sheetData>
    <row r="1" spans="1:7">
      <c r="A1" s="45" t="s">
        <v>200</v>
      </c>
      <c r="B1" s="45"/>
      <c r="C1" s="45"/>
      <c r="D1" s="45"/>
    </row>
    <row r="2" spans="1:7">
      <c r="A2" s="46" t="s">
        <v>0</v>
      </c>
      <c r="B2" s="46"/>
      <c r="C2" s="46" t="s">
        <v>1</v>
      </c>
      <c r="D2" s="46"/>
    </row>
    <row r="3" spans="1:7">
      <c r="A3" s="56" t="s">
        <v>201</v>
      </c>
      <c r="B3" s="56"/>
      <c r="C3" s="56" t="s">
        <v>202</v>
      </c>
      <c r="D3" s="56"/>
    </row>
    <row r="6" spans="1:7" ht="33">
      <c r="A6" s="27" t="s">
        <v>14</v>
      </c>
      <c r="B6" s="27" t="s">
        <v>16</v>
      </c>
      <c r="C6" s="27" t="s">
        <v>15</v>
      </c>
      <c r="D6" s="27" t="s">
        <v>106</v>
      </c>
      <c r="E6" s="27" t="s">
        <v>109</v>
      </c>
      <c r="F6" s="27" t="s">
        <v>40</v>
      </c>
    </row>
    <row r="7" spans="1:7">
      <c r="A7" s="28" t="s">
        <v>9</v>
      </c>
      <c r="B7" s="28" t="s">
        <v>233</v>
      </c>
      <c r="C7" s="28" t="s">
        <v>234</v>
      </c>
      <c r="D7" s="28" t="s">
        <v>225</v>
      </c>
      <c r="E7" s="28" t="s">
        <v>235</v>
      </c>
      <c r="F7" s="28" t="s">
        <v>236</v>
      </c>
    </row>
    <row r="8" spans="1:7">
      <c r="A8" s="28" t="s">
        <v>10</v>
      </c>
      <c r="B8" s="28" t="s">
        <v>237</v>
      </c>
      <c r="C8" s="28" t="s">
        <v>234</v>
      </c>
      <c r="D8" s="28" t="s">
        <v>225</v>
      </c>
      <c r="E8" s="28"/>
      <c r="F8" s="28" t="s">
        <v>239</v>
      </c>
      <c r="G8" s="26" t="s">
        <v>240</v>
      </c>
    </row>
    <row r="9" spans="1:7" ht="33">
      <c r="A9" s="28" t="s">
        <v>11</v>
      </c>
      <c r="B9" s="28" t="s">
        <v>237</v>
      </c>
      <c r="C9" s="28" t="s">
        <v>234</v>
      </c>
      <c r="D9" s="28" t="s">
        <v>225</v>
      </c>
      <c r="E9" s="28"/>
      <c r="F9" s="28" t="s">
        <v>238</v>
      </c>
      <c r="G9" s="26" t="s">
        <v>240</v>
      </c>
    </row>
    <row r="10" spans="1:7" ht="33">
      <c r="A10" s="57" t="s">
        <v>17</v>
      </c>
      <c r="B10" s="28" t="s">
        <v>255</v>
      </c>
      <c r="C10" s="28" t="s">
        <v>222</v>
      </c>
      <c r="D10" s="28" t="s">
        <v>224</v>
      </c>
      <c r="E10" s="28">
        <v>0</v>
      </c>
      <c r="F10" s="28" t="s">
        <v>256</v>
      </c>
    </row>
    <row r="11" spans="1:7">
      <c r="A11" s="58"/>
      <c r="B11" s="28" t="s">
        <v>257</v>
      </c>
      <c r="C11" s="28" t="s">
        <v>234</v>
      </c>
      <c r="D11" s="28" t="s">
        <v>224</v>
      </c>
      <c r="E11" s="28">
        <v>0</v>
      </c>
      <c r="F11" s="28" t="s">
        <v>258</v>
      </c>
    </row>
    <row r="12" spans="1:7">
      <c r="A12" s="28" t="s">
        <v>19</v>
      </c>
      <c r="B12" s="28" t="s">
        <v>241</v>
      </c>
      <c r="C12" s="28" t="s">
        <v>234</v>
      </c>
      <c r="D12" s="28" t="s">
        <v>224</v>
      </c>
      <c r="E12" s="28">
        <v>0</v>
      </c>
      <c r="F12" s="28"/>
    </row>
    <row r="13" spans="1:7">
      <c r="A13" s="28" t="s">
        <v>20</v>
      </c>
      <c r="B13" s="28" t="s">
        <v>220</v>
      </c>
      <c r="C13" s="28" t="s">
        <v>12</v>
      </c>
      <c r="D13" s="28" t="s">
        <v>225</v>
      </c>
      <c r="E13" s="28">
        <v>1000</v>
      </c>
      <c r="F13" s="28" t="s">
        <v>223</v>
      </c>
    </row>
    <row r="14" spans="1:7">
      <c r="A14" s="28" t="s">
        <v>24</v>
      </c>
      <c r="B14" s="28" t="s">
        <v>221</v>
      </c>
      <c r="C14" s="28" t="s">
        <v>222</v>
      </c>
      <c r="D14" s="28" t="s">
        <v>226</v>
      </c>
      <c r="E14" s="28" t="s">
        <v>226</v>
      </c>
      <c r="F14" s="28" t="s">
        <v>245</v>
      </c>
    </row>
    <row r="15" spans="1:7" ht="165">
      <c r="A15" s="28" t="s">
        <v>25</v>
      </c>
      <c r="B15" s="28" t="s">
        <v>246</v>
      </c>
      <c r="C15" s="28" t="s">
        <v>7</v>
      </c>
      <c r="D15" s="29" t="s">
        <v>213</v>
      </c>
      <c r="E15" s="28">
        <v>0</v>
      </c>
      <c r="F15" s="29" t="s">
        <v>230</v>
      </c>
    </row>
    <row r="16" spans="1:7" ht="33">
      <c r="A16" s="28" t="s">
        <v>26</v>
      </c>
      <c r="B16" s="28" t="s">
        <v>247</v>
      </c>
      <c r="C16" s="28" t="s">
        <v>7</v>
      </c>
      <c r="D16" s="28" t="s">
        <v>213</v>
      </c>
      <c r="E16" s="28">
        <v>0</v>
      </c>
      <c r="F16" s="29" t="s">
        <v>231</v>
      </c>
    </row>
    <row r="17" spans="1:6">
      <c r="A17" s="28" t="s">
        <v>82</v>
      </c>
      <c r="B17" s="28" t="s">
        <v>228</v>
      </c>
      <c r="C17" s="28" t="s">
        <v>12</v>
      </c>
      <c r="D17" s="28" t="s">
        <v>213</v>
      </c>
      <c r="E17" s="28">
        <v>0</v>
      </c>
      <c r="F17" s="29" t="s">
        <v>232</v>
      </c>
    </row>
    <row r="18" spans="1:6" ht="33">
      <c r="A18" s="28" t="s">
        <v>62</v>
      </c>
      <c r="B18" s="28" t="s">
        <v>229</v>
      </c>
      <c r="C18" s="28" t="s">
        <v>222</v>
      </c>
      <c r="D18" s="28" t="s">
        <v>227</v>
      </c>
      <c r="E18" s="28" t="s">
        <v>226</v>
      </c>
      <c r="F18" s="28" t="s">
        <v>244</v>
      </c>
    </row>
    <row r="19" spans="1:6">
      <c r="A19" s="28" t="s">
        <v>83</v>
      </c>
      <c r="B19" s="28" t="s">
        <v>241</v>
      </c>
      <c r="C19" s="28"/>
      <c r="D19" s="28"/>
      <c r="E19" s="28"/>
      <c r="F19" s="28"/>
    </row>
    <row r="20" spans="1:6">
      <c r="A20" s="28" t="s">
        <v>28</v>
      </c>
      <c r="B20" s="28" t="s">
        <v>241</v>
      </c>
      <c r="C20" s="28"/>
      <c r="D20" s="28"/>
      <c r="E20" s="28"/>
      <c r="F20" s="28"/>
    </row>
    <row r="21" spans="1:6">
      <c r="A21" s="28" t="s">
        <v>21</v>
      </c>
      <c r="B21" s="28" t="s">
        <v>241</v>
      </c>
      <c r="C21" s="28"/>
      <c r="D21" s="28"/>
      <c r="E21" s="28"/>
      <c r="F21" s="28"/>
    </row>
    <row r="22" spans="1:6" ht="66">
      <c r="A22" s="28" t="s">
        <v>29</v>
      </c>
      <c r="B22" s="28" t="s">
        <v>242</v>
      </c>
      <c r="C22" s="28" t="s">
        <v>12</v>
      </c>
      <c r="D22" s="28" t="s">
        <v>213</v>
      </c>
      <c r="E22" s="28"/>
      <c r="F22" s="28" t="s">
        <v>243</v>
      </c>
    </row>
  </sheetData>
  <mergeCells count="6">
    <mergeCell ref="A10:A11"/>
    <mergeCell ref="A1:D1"/>
    <mergeCell ref="A2:B2"/>
    <mergeCell ref="C2:D2"/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地址空间总体划分</vt:lpstr>
      <vt:lpstr>电流采样模块</vt:lpstr>
      <vt:lpstr>位置传感器模块</vt:lpstr>
      <vt:lpstr>电流环运算模块</vt:lpstr>
      <vt:lpstr>载波模块</vt:lpstr>
      <vt:lpstr>非相关信号采集</vt:lpstr>
      <vt:lpstr>安全监控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2024-09-26T05:03:39Z</dcterms:modified>
</cp:coreProperties>
</file>